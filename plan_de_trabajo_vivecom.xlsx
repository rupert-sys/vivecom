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lan de trabajo" sheetId="2" state="visible" r:id="rId4"/>
    <sheet name="Hitos" sheetId="3" state="visible" r:id="rId5"/>
  </sheets>
  <definedNames>
    <definedName function="false" hidden="true" localSheetId="1" name="_xlnm._FilterDatabase" vbProcedure="false">'Plan de trabajo'!$A$1:$K$86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<sst xmlns="http://schemas.openxmlformats.org/spreadsheetml/2006/main" count="908" uniqueCount="382">
  <si>
    <t xml:space="preserve">Plan de trabajo — Plataforma de administración de condominios (Vivecom) — México</t>
  </si>
  <si>
    <t xml:space="preserve">Administración, comunicación, seguridad y pagos en una sola plataforma, enfocada en el mercado mexicano</t>
  </si>
  <si>
    <t xml:space="preserve">Fecha de inicio del proyecto (editable):</t>
  </si>
  <si>
    <t xml:space="preserve">Resumen de fases</t>
  </si>
  <si>
    <t xml:space="preserve">Fase</t>
  </si>
  <si>
    <t xml:space="preserve">Duración estimada</t>
  </si>
  <si>
    <t xml:space="preserve">Semanas</t>
  </si>
  <si>
    <t xml:space="preserve">Objetivo principal</t>
  </si>
  <si>
    <t xml:space="preserve">Fase 0 — Discovery y diseño</t>
  </si>
  <si>
    <t xml:space="preserve">3 semanas</t>
  </si>
  <si>
    <t xml:space="preserve">1-3</t>
  </si>
  <si>
    <t xml:space="preserve">Definir alcance, arquitectura, UX y base de infraestructura</t>
  </si>
  <si>
    <t xml:space="preserve">Fase 1 — MVP</t>
  </si>
  <si>
    <t xml:space="preserve">9 semanas</t>
  </si>
  <si>
    <t xml:space="preserve">4-12</t>
  </si>
  <si>
    <t xml:space="preserve">Administrativo (cuotas y pagos) + Comunicación básica en producción</t>
  </si>
  <si>
    <t xml:space="preserve">Fase 2 — Diferenciación</t>
  </si>
  <si>
    <t xml:space="preserve">10 semanas</t>
  </si>
  <si>
    <t xml:space="preserve">13-22</t>
  </si>
  <si>
    <t xml:space="preserve">Seguridad (accesos/incidencias) + Comunicación avanzada + Amenidades</t>
  </si>
  <si>
    <t xml:space="preserve">Fase 3 — Escala</t>
  </si>
  <si>
    <t xml:space="preserve">Continuo</t>
  </si>
  <si>
    <t xml:space="preserve">23+</t>
  </si>
  <si>
    <t xml:space="preserve">Métodos de pago adicionales (SPEI), cumplimiento de datos, integraciones y crecimiento nacional</t>
  </si>
  <si>
    <t xml:space="preserve">Carga de trabajo total por fase (días-persona)</t>
  </si>
  <si>
    <t xml:space="preserve">Total días-persona</t>
  </si>
  <si>
    <t xml:space="preserve">N° de tareas</t>
  </si>
  <si>
    <t xml:space="preserve">Fase 0</t>
  </si>
  <si>
    <t xml:space="preserve">Fase 1</t>
  </si>
  <si>
    <t xml:space="preserve">Fase 2</t>
  </si>
  <si>
    <t xml:space="preserve">Fase 3</t>
  </si>
  <si>
    <t xml:space="preserve">Total proyecto</t>
  </si>
  <si>
    <t xml:space="preserve">Carga de trabajo por rol (días-persona)</t>
  </si>
  <si>
    <t xml:space="preserve">Rol</t>
  </si>
  <si>
    <t xml:space="preserve">PM / Producto</t>
  </si>
  <si>
    <t xml:space="preserve">UX/UI</t>
  </si>
  <si>
    <t xml:space="preserve">Tech Lead</t>
  </si>
  <si>
    <t xml:space="preserve">Backend</t>
  </si>
  <si>
    <t xml:space="preserve">Frontend</t>
  </si>
  <si>
    <t xml:space="preserve">Mobile</t>
  </si>
  <si>
    <t xml:space="preserve">DevOps</t>
  </si>
  <si>
    <t xml:space="preserve">QA</t>
  </si>
  <si>
    <t xml:space="preserve">Legal/Cumplimiento</t>
  </si>
  <si>
    <t xml:space="preserve">ID</t>
  </si>
  <si>
    <t xml:space="preserve">Módulo</t>
  </si>
  <si>
    <t xml:space="preserve">Tarea</t>
  </si>
  <si>
    <t xml:space="preserve">Descripción</t>
  </si>
  <si>
    <t xml:space="preserve">Rol responsable</t>
  </si>
  <si>
    <t xml:space="preserve">Estimación (días)</t>
  </si>
  <si>
    <t xml:space="preserve">Prioridad</t>
  </si>
  <si>
    <t xml:space="preserve">Dependencia (ID)</t>
  </si>
  <si>
    <t xml:space="preserve">Semana estimada</t>
  </si>
  <si>
    <t xml:space="preserve">Estado</t>
  </si>
  <si>
    <t xml:space="preserve">F0-01</t>
  </si>
  <si>
    <t xml:space="preserve">Producto</t>
  </si>
  <si>
    <t xml:space="preserve">Definir alcance detallado del MVP</t>
  </si>
  <si>
    <t xml:space="preserve">Documentar historias de usuario y criterios de aceptación para Fase 1.</t>
  </si>
  <si>
    <t xml:space="preserve">Alta</t>
  </si>
  <si>
    <t xml:space="preserve">1</t>
  </si>
  <si>
    <t xml:space="preserve">Pendiente</t>
  </si>
  <si>
    <t xml:space="preserve">F0-02</t>
  </si>
  <si>
    <t xml:space="preserve">Investigación de competidores</t>
  </si>
  <si>
    <t xml:space="preserve">Analizar Comunidad Feliz, TrustCondo, Kiper y similares: features, precios, huecos de mercado.</t>
  </si>
  <si>
    <t xml:space="preserve">Media</t>
  </si>
  <si>
    <t xml:space="preserve">F0-03</t>
  </si>
  <si>
    <t xml:space="preserve">Entrevistas con administradores potenciales</t>
  </si>
  <si>
    <t xml:space="preserve">5-10 entrevistas para validar dolor real y disposición de pago.</t>
  </si>
  <si>
    <t xml:space="preserve">F0-04</t>
  </si>
  <si>
    <t xml:space="preserve">Definir modelo de negocio y pricing</t>
  </si>
  <si>
    <t xml:space="preserve">Cobro por vivienda, periodicidad mensual, sin periodo de prueba gratuito (ya definido en el alcance).</t>
  </si>
  <si>
    <t xml:space="preserve">2</t>
  </si>
  <si>
    <t xml:space="preserve">F0-05</t>
  </si>
  <si>
    <t xml:space="preserve">Arquitectura</t>
  </si>
  <si>
    <t xml:space="preserve">Elegir stack tecnológico definitivo</t>
  </si>
  <si>
    <t xml:space="preserve">Confirmar backend, frontend, mobile, BD, infraestructura cloud y proveedor de recepción SPEI.</t>
  </si>
  <si>
    <t xml:space="preserve">F0-06</t>
  </si>
  <si>
    <t xml:space="preserve">Diseñar estrategia multi-tenant</t>
  </si>
  <si>
    <t xml:space="preserve">Definir schema-por-tenant en PostgreSQL, aislamiento de datos y ruteo por tenant.</t>
  </si>
  <si>
    <t xml:space="preserve">F0-07</t>
  </si>
  <si>
    <t xml:space="preserve">Diseñar modelo de datos (ERD) completo</t>
  </si>
  <si>
    <t xml:space="preserve">Modelar Tenant, Property, Resident, Fee, Payment, AccessLog, Incident, Announcement, Poll, Reservation.</t>
  </si>
  <si>
    <t xml:space="preserve">F0-08</t>
  </si>
  <si>
    <t xml:space="preserve">Mapear flujos de usuario</t>
  </si>
  <si>
    <t xml:space="preserve">Flujos clave: residente paga cuota, admin envía aviso, guardia registra visitante.</t>
  </si>
  <si>
    <t xml:space="preserve">F0-09</t>
  </si>
  <si>
    <t xml:space="preserve">Wireframes de baja fidelidad</t>
  </si>
  <si>
    <t xml:space="preserve">Wireframes de app residente, panel admin y app caseta.</t>
  </si>
  <si>
    <t xml:space="preserve">F0-10</t>
  </si>
  <si>
    <t xml:space="preserve">Sistema de diseño y UI kit</t>
  </si>
  <si>
    <t xml:space="preserve">Paleta, tipografía, componentes reutilizables para las 3 plataformas.</t>
  </si>
  <si>
    <t xml:space="preserve">F0-11</t>
  </si>
  <si>
    <t xml:space="preserve">Prototipo navegable en Figma</t>
  </si>
  <si>
    <t xml:space="preserve">Prototipo de alta fidelidad de los flujos críticos del MVP.</t>
  </si>
  <si>
    <t xml:space="preserve">3</t>
  </si>
  <si>
    <t xml:space="preserve">F0-12</t>
  </si>
  <si>
    <t xml:space="preserve">Validación de prototipo con administradores</t>
  </si>
  <si>
    <t xml:space="preserve">Sesiones de usabilidad con 3-5 administradores reales.</t>
  </si>
  <si>
    <t xml:space="preserve">F0-13</t>
  </si>
  <si>
    <t xml:space="preserve">Infraestructura</t>
  </si>
  <si>
    <t xml:space="preserve">Configurar repositorios y estrategia de branching</t>
  </si>
  <si>
    <t xml:space="preserve">Monorepo o multi-repo, convenciones de commits, protección de ramas.</t>
  </si>
  <si>
    <t xml:space="preserve">F0-14</t>
  </si>
  <si>
    <t xml:space="preserve">Configurar CI/CD</t>
  </si>
  <si>
    <t xml:space="preserve">Pipelines de build, test y deploy automático a staging.</t>
  </si>
  <si>
    <t xml:space="preserve">F0-15</t>
  </si>
  <si>
    <t xml:space="preserve">Levantar entornos dev/staging/producción</t>
  </si>
  <si>
    <t xml:space="preserve">Infraestructura en AWS/GCP región LATAM (México).</t>
  </si>
  <si>
    <t xml:space="preserve">F0-16</t>
  </si>
  <si>
    <t xml:space="preserve">Definir infraestructura como código (Terraform)</t>
  </si>
  <si>
    <t xml:space="preserve">Scripts reproducibles para levantar entornos.</t>
  </si>
  <si>
    <t xml:space="preserve">F0-17</t>
  </si>
  <si>
    <t xml:space="preserve">Implementar autenticación multi-tenant</t>
  </si>
  <si>
    <t xml:space="preserve">JWT, roles (admin, tesorero, comité, vocero, residente, guardia) y aislamiento por tenant.</t>
  </si>
  <si>
    <t xml:space="preserve">F0-06,F0-07</t>
  </si>
  <si>
    <t xml:space="preserve">F1-01</t>
  </si>
  <si>
    <t xml:space="preserve">Administrativo</t>
  </si>
  <si>
    <t xml:space="preserve">CRUD de Tenant, Property y Resident</t>
  </si>
  <si>
    <t xml:space="preserve">Alta de condominios, viviendas y residentes con relación N:N (propietario/inquilino); cada vivienda se administra de forma independiente.</t>
  </si>
  <si>
    <t xml:space="preserve">F0-07,F0-17</t>
  </si>
  <si>
    <t xml:space="preserve">4</t>
  </si>
  <si>
    <t xml:space="preserve">F1-02</t>
  </si>
  <si>
    <t xml:space="preserve">Módulo de configuración de cuotas (Fee)</t>
  </si>
  <si>
    <t xml:space="preserve">Definir monto y periodicidad por condominio; el recargo por mora es una regla global de la plataforma.</t>
  </si>
  <si>
    <t xml:space="preserve">F1-03</t>
  </si>
  <si>
    <t xml:space="preserve">Generación automática de cargos mensuales</t>
  </si>
  <si>
    <t xml:space="preserve">Job programado que crea FeeCharge por vivienda cada ciclo.</t>
  </si>
  <si>
    <t xml:space="preserve">5</t>
  </si>
  <si>
    <t xml:space="preserve">F1-04</t>
  </si>
  <si>
    <t xml:space="preserve">Cálculo de recargos por mora</t>
  </si>
  <si>
    <t xml:space="preserve">Regla global: 10% aplicado a partir del minuto 1 del día 6 de cada mes (5 días de gracia).</t>
  </si>
  <si>
    <t xml:space="preserve">F1-05</t>
  </si>
  <si>
    <t xml:space="preserve">Configuración de cuenta CLABE de destino</t>
  </si>
  <si>
    <t xml:space="preserve">El administrador define/cambia la CLABE del condominio con confirmación explícita y bitácora de auditoría.</t>
  </si>
  <si>
    <t xml:space="preserve">F1-06</t>
  </si>
  <si>
    <t xml:space="preserve">Integración de recepción de pagos vía SPEI</t>
  </si>
  <si>
    <t xml:space="preserve">Proveedor de recepción SPEI (ej. STP/Arcus) para generar cobro por CLABE y detectar depósitos entrantes (sin Open Banking ni iniciación de transferencia).</t>
  </si>
  <si>
    <t xml:space="preserve">6</t>
  </si>
  <si>
    <t xml:space="preserve">F1-07</t>
  </si>
  <si>
    <t xml:space="preserve">Conciliación automática de pagos</t>
  </si>
  <si>
    <t xml:space="preserve">Procesar notificaciones del proveedor SPEI y marcar cada transferencia como confirmada, pendiente o rechazada, conciliando contra FeeCharge.</t>
  </si>
  <si>
    <t xml:space="preserve">F1-06,F1-03</t>
  </si>
  <si>
    <t xml:space="preserve">F1-08</t>
  </si>
  <si>
    <t xml:space="preserve">Pago anticipado (1 a 12 meses)</t>
  </si>
  <si>
    <t xml:space="preserve">Permitir aplicar un pago a varios cargos futuros en una sola operación, evitando recargos futuros.</t>
  </si>
  <si>
    <t xml:space="preserve">7</t>
  </si>
  <si>
    <t xml:space="preserve">F1-09</t>
  </si>
  <si>
    <t xml:space="preserve">Cálculo y aplicación de saldo a favor</t>
  </si>
  <si>
    <t xml:space="preserve">Si el monto transferido excede lo debido, el excedente se guarda y aplica automáticamente al siguiente cargo.</t>
  </si>
  <si>
    <t xml:space="preserve">F1-10</t>
  </si>
  <si>
    <t xml:space="preserve">Panel de validación de pagos (tesorero)</t>
  </si>
  <si>
    <t xml:space="preserve">Vista para que el tesorero confirme pagos detectados y resuelva casos especiales (rechazos, ajustes).</t>
  </si>
  <si>
    <t xml:space="preserve">F1-11</t>
  </si>
  <si>
    <t xml:space="preserve">Generación de recibo de pago simple (no fiscal)</t>
  </si>
  <si>
    <t xml:space="preserve">PDF de recibo automático por cada pago confirmado; no es comprobante fiscal.</t>
  </si>
  <si>
    <t xml:space="preserve">F1-12</t>
  </si>
  <si>
    <t xml:space="preserve">Comunicación</t>
  </si>
  <si>
    <t xml:space="preserve">Integración de canal de notificaciones (WhatsApp + SMS)</t>
  </si>
  <si>
    <t xml:space="preserve">WhatsApp Business API (Twilio/360dialog) como canal principal junto con la app; SMS como respaldo si los anteriores fallan. Sin correo electrónico.</t>
  </si>
  <si>
    <t xml:space="preserve">F1-13</t>
  </si>
  <si>
    <t xml:space="preserve">Recordatorios automáticos de pago</t>
  </si>
  <si>
    <t xml:space="preserve">Job que envía recordatorios desde el día 1 del mes hasta que se registre el pago, y confirmación al pagarse.</t>
  </si>
  <si>
    <t xml:space="preserve">F1-04,F1-12</t>
  </si>
  <si>
    <t xml:space="preserve">F1-14</t>
  </si>
  <si>
    <t xml:space="preserve">Generación de estado de cuenta por vivienda</t>
  </si>
  <si>
    <t xml:space="preserve">Vista/PDF con historial de cargos, pagos, recargos y saldo (a favor o en contra).</t>
  </si>
  <si>
    <t xml:space="preserve">F1-04,F1-09</t>
  </si>
  <si>
    <t xml:space="preserve">8</t>
  </si>
  <si>
    <t xml:space="preserve">F1-15</t>
  </si>
  <si>
    <t xml:space="preserve">Módulo de gastos y categorías</t>
  </si>
  <si>
    <t xml:space="preserve">Registro de gastos del condominio por categoría, con comprobante obligatorio en todos los casos.</t>
  </si>
  <si>
    <t xml:space="preserve">F1-16</t>
  </si>
  <si>
    <t xml:space="preserve">Módulo de presupuesto (mensual/anual)</t>
  </si>
  <si>
    <t xml:space="preserve">Presupuesto mensual por defecto; ciertas actividades pueden definirse a nivel anual.</t>
  </si>
  <si>
    <t xml:space="preserve">F1-17</t>
  </si>
  <si>
    <t xml:space="preserve">Exportación de reportes a Excel</t>
  </si>
  <si>
    <t xml:space="preserve">Exportar estados de cuenta, gastos y presupuesto de forma asíncrona.</t>
  </si>
  <si>
    <t xml:space="preserve">F1-14,F1-16</t>
  </si>
  <si>
    <t xml:space="preserve">F1-18</t>
  </si>
  <si>
    <t xml:space="preserve">Panel admin: gestión de viviendas y residentes</t>
  </si>
  <si>
    <t xml:space="preserve">Pantallas CRUD conectadas al backend.</t>
  </si>
  <si>
    <t xml:space="preserve">F1-19</t>
  </si>
  <si>
    <t xml:space="preserve">Panel admin: configuración de cuotas</t>
  </si>
  <si>
    <t xml:space="preserve">Pantalla para definir monto y periodicidad de la cuota (el recargo es global, no editable aquí).</t>
  </si>
  <si>
    <t xml:space="preserve">F1-20</t>
  </si>
  <si>
    <t xml:space="preserve">Panel admin: cambio seguro de cuenta CLABE</t>
  </si>
  <si>
    <t xml:space="preserve">Pantalla con confirmación explícita para cambiar la cuenta de destino, con historial de cambios visible.</t>
  </si>
  <si>
    <t xml:space="preserve">F1-21</t>
  </si>
  <si>
    <t xml:space="preserve">Panel admin: dashboard financiero</t>
  </si>
  <si>
    <t xml:space="preserve">Vista de cobrado vs. pendiente, con filtros por vivienda y periodo.</t>
  </si>
  <si>
    <t xml:space="preserve">F1-22</t>
  </si>
  <si>
    <t xml:space="preserve">Panel admin: gestión de gastos y presupuesto</t>
  </si>
  <si>
    <t xml:space="preserve">Alta y consulta de gastos por categoría, y carga de presupuesto mensual/anual.</t>
  </si>
  <si>
    <t xml:space="preserve">F1-23</t>
  </si>
  <si>
    <t xml:space="preserve">Panel admin: exportación de reportes</t>
  </si>
  <si>
    <t xml:space="preserve">Botón de exportar con selección de rango de fechas.</t>
  </si>
  <si>
    <t xml:space="preserve">F1-24</t>
  </si>
  <si>
    <t xml:space="preserve">App residente: estado de cuenta</t>
  </si>
  <si>
    <t xml:space="preserve">Pantalla con historial de cargos, saldo actual y saldo a favor.</t>
  </si>
  <si>
    <t xml:space="preserve">F1-25</t>
  </si>
  <si>
    <t xml:space="preserve">App residente: ver cuenta CLABE del condominio</t>
  </si>
  <si>
    <t xml:space="preserve">Muestra el banco y CLABE vigentes para hacer la transferencia desde el banco del residente.</t>
  </si>
  <si>
    <t xml:space="preserve">F1-26</t>
  </si>
  <si>
    <t xml:space="preserve">App residente: estado del pago y pago anticipado</t>
  </si>
  <si>
    <t xml:space="preserve">Muestra pago pendiente/confirmado/rechazado, y permite elegir pagar 1-12 meses por adelantado.</t>
  </si>
  <si>
    <t xml:space="preserve">F1-07,F1-08</t>
  </si>
  <si>
    <t xml:space="preserve">9</t>
  </si>
  <si>
    <t xml:space="preserve">F1-27</t>
  </si>
  <si>
    <t xml:space="preserve">App residente: historial de pagos y recibos</t>
  </si>
  <si>
    <t xml:space="preserve">Listado de pagos realizados con recibo simple descargable.</t>
  </si>
  <si>
    <t xml:space="preserve">F1-28</t>
  </si>
  <si>
    <t xml:space="preserve">App residente: transparencia de gastos</t>
  </si>
  <si>
    <t xml:space="preserve">Vista de solo lectura de los gastos del condominio (categoría, monto, comprobante), filtrable por periodo. Motivo principal de adopción según entrevistas (HU-A12).</t>
  </si>
  <si>
    <t xml:space="preserve">F1-29</t>
  </si>
  <si>
    <t xml:space="preserve">QA: pruebas del flujo de cobro completo</t>
  </si>
  <si>
    <t xml:space="preserve">Pruebas end-to-end: transferencia, detección, conciliación, saldo a favor y rechazo.</t>
  </si>
  <si>
    <t xml:space="preserve">F1-07,F1-09,F1-26</t>
  </si>
  <si>
    <t xml:space="preserve">F1-30</t>
  </si>
  <si>
    <t xml:space="preserve">Módulo de avisos y circulares</t>
  </si>
  <si>
    <t xml:space="preserve">Backend para crear, editar y programar avisos por condominio.</t>
  </si>
  <si>
    <t xml:space="preserve">F1-31</t>
  </si>
  <si>
    <t xml:space="preserve">Confirmación de lectura de avisos</t>
  </si>
  <si>
    <t xml:space="preserve">Registro de qué residentes han leído cada aviso.</t>
  </si>
  <si>
    <t xml:space="preserve">F1-32</t>
  </si>
  <si>
    <t xml:space="preserve">Envío de notificaciones de avisos</t>
  </si>
  <si>
    <t xml:space="preserve">Notificación por app y WhatsApp cuando se publica un aviso; SMS como respaldo.</t>
  </si>
  <si>
    <t xml:space="preserve">F1-30,F1-12</t>
  </si>
  <si>
    <t xml:space="preserve">F1-33</t>
  </si>
  <si>
    <t xml:space="preserve">Panel admin: creación y envío de avisos</t>
  </si>
  <si>
    <t xml:space="preserve">Editor de avisos con vista previa y programación de envío.</t>
  </si>
  <si>
    <t xml:space="preserve">F1-34</t>
  </si>
  <si>
    <t xml:space="preserve">App residente: bandeja de avisos</t>
  </si>
  <si>
    <t xml:space="preserve">Listado de avisos con estado de leído/no leído.</t>
  </si>
  <si>
    <t xml:space="preserve">F1-31,F1-32</t>
  </si>
  <si>
    <t xml:space="preserve">F1-35</t>
  </si>
  <si>
    <t xml:space="preserve">QA: pruebas de entrega de notificaciones</t>
  </si>
  <si>
    <t xml:space="preserve">Validar entrega por app, WhatsApp y SMS en distintos dispositivos y condiciones de red.</t>
  </si>
  <si>
    <t xml:space="preserve">F1-36</t>
  </si>
  <si>
    <t xml:space="preserve">Logging y monitoreo en producción</t>
  </si>
  <si>
    <t xml:space="preserve">Configurar Sentry para errores y Datadog/Grafana para métricas.</t>
  </si>
  <si>
    <t xml:space="preserve">F1-37</t>
  </si>
  <si>
    <t xml:space="preserve">Pruebas de carga del módulo financiero</t>
  </si>
  <si>
    <t xml:space="preserve">Simular generación masiva de cargos y detección de pagos concurrentes.</t>
  </si>
  <si>
    <t xml:space="preserve">F1-38</t>
  </si>
  <si>
    <t xml:space="preserve">Documentación</t>
  </si>
  <si>
    <t xml:space="preserve">Documentación técnica de la API</t>
  </si>
  <si>
    <t xml:space="preserve">Swagger/OpenAPI de todos los endpoints del MVP.</t>
  </si>
  <si>
    <t xml:space="preserve">F1-29,F1-35</t>
  </si>
  <si>
    <t xml:space="preserve">F1-39</t>
  </si>
  <si>
    <t xml:space="preserve">Beta cerrada con condominios piloto</t>
  </si>
  <si>
    <t xml:space="preserve">Lanzar con 2-3 condominios reales y recolectar feedback estructurado.</t>
  </si>
  <si>
    <t xml:space="preserve">F1-29,F1-37</t>
  </si>
  <si>
    <t xml:space="preserve">F2-01</t>
  </si>
  <si>
    <t xml:space="preserve">Seguridad</t>
  </si>
  <si>
    <t xml:space="preserve">Módulo de control de accesos (AccessLog)</t>
  </si>
  <si>
    <t xml:space="preserve">Registro de entradas/salidas de residentes, visitantes y proveedores. Sin límite de visitantes ni restricción de horario.</t>
  </si>
  <si>
    <t xml:space="preserve">13</t>
  </si>
  <si>
    <t xml:space="preserve">F2-02</t>
  </si>
  <si>
    <t xml:space="preserve">QR de acceso temporal de un solo uso</t>
  </si>
  <si>
    <t xml:space="preserve">Generar QR que expira automáticamente al usarse (no por fecha/hora).</t>
  </si>
  <si>
    <t xml:space="preserve">F2-03</t>
  </si>
  <si>
    <t xml:space="preserve">Control vehicular</t>
  </si>
  <si>
    <t xml:space="preserve">Registro de placas asociadas a un acceso.</t>
  </si>
  <si>
    <t xml:space="preserve">14</t>
  </si>
  <si>
    <t xml:space="preserve">F2-04</t>
  </si>
  <si>
    <t xml:space="preserve">Gestión de paquetería</t>
  </si>
  <si>
    <t xml:space="preserve">Notificación al residente cuando llega el paquete, y notificación adicional cuando se marca como recogido.</t>
  </si>
  <si>
    <t xml:space="preserve">F2-01,F1-12</t>
  </si>
  <si>
    <t xml:space="preserve">F2-05</t>
  </si>
  <si>
    <t xml:space="preserve">Módulo de incidencias compartidas con el comité</t>
  </si>
  <si>
    <t xml:space="preserve">Máquina de estados (abierta → en proceso → resuelta); toda incidencia es visible para administrador y comité.</t>
  </si>
  <si>
    <t xml:space="preserve">F2-06</t>
  </si>
  <si>
    <t xml:space="preserve">Alertas en tiempo real</t>
  </si>
  <si>
    <t xml:space="preserve">WebSockets para notificar incidencias al administrador y comité de forma inmediata.</t>
  </si>
  <si>
    <t xml:space="preserve">15</t>
  </si>
  <si>
    <t xml:space="preserve">F2-07</t>
  </si>
  <si>
    <t xml:space="preserve">App caseta: arquitectura offline-first</t>
  </si>
  <si>
    <t xml:space="preserve">Sincronización diferida cuando la conexión de la caseta falla.</t>
  </si>
  <si>
    <t xml:space="preserve">F2-08</t>
  </si>
  <si>
    <t xml:space="preserve">App caseta: registro de accesos</t>
  </si>
  <si>
    <t xml:space="preserve">Pantalla rápida para registrar entrada/salida con hora exacta.</t>
  </si>
  <si>
    <t xml:space="preserve">16</t>
  </si>
  <si>
    <t xml:space="preserve">F2-09</t>
  </si>
  <si>
    <t xml:space="preserve">App caseta: bitácora de incidencias</t>
  </si>
  <si>
    <t xml:space="preserve">Registro de incidencias desde la caseta con foto adjunta.</t>
  </si>
  <si>
    <t xml:space="preserve">F2-05,F2-07</t>
  </si>
  <si>
    <t xml:space="preserve">F2-10</t>
  </si>
  <si>
    <t xml:space="preserve">App caseta: escaneo de QR de visitantes</t>
  </si>
  <si>
    <t xml:space="preserve">Validar el QR de un solo uso generado por el residente para autorizar acceso.</t>
  </si>
  <si>
    <t xml:space="preserve">F2-02,F2-07</t>
  </si>
  <si>
    <t xml:space="preserve">17</t>
  </si>
  <si>
    <t xml:space="preserve">F2-11</t>
  </si>
  <si>
    <t xml:space="preserve">Alerta al administrador por error de sincronización</t>
  </si>
  <si>
    <t xml:space="preserve">Si al sincronizar se detecta un conflicto o duplicado, se notifica automáticamente al administrador.</t>
  </si>
  <si>
    <t xml:space="preserve">F2-12</t>
  </si>
  <si>
    <t xml:space="preserve">Panel admin: dashboard de seguridad</t>
  </si>
  <si>
    <t xml:space="preserve">Reportes de accesos, incidencias abiertas y tiempos de resolución.</t>
  </si>
  <si>
    <t xml:space="preserve">F2-01,F2-05</t>
  </si>
  <si>
    <t xml:space="preserve">F2-13</t>
  </si>
  <si>
    <t xml:space="preserve">QA: pruebas de app caseta en modo offline</t>
  </si>
  <si>
    <t xml:space="preserve">Validar sincronización correcta y alertas al recuperar conectividad.</t>
  </si>
  <si>
    <t xml:space="preserve">F2-08,F2-09,F2-10,F2-11</t>
  </si>
  <si>
    <t xml:space="preserve">18</t>
  </si>
  <si>
    <t xml:space="preserve">F2-14</t>
  </si>
  <si>
    <t xml:space="preserve">Módulo de votaciones con quorum</t>
  </si>
  <si>
    <t xml:space="preserve">Creadas por voceros, con fecha de cierre y mínimo 51% de participación; si no se alcanza, se reactiva automáticamente una semana después con recordatorios a todos los residentes.</t>
  </si>
  <si>
    <t xml:space="preserve">F2-15</t>
  </si>
  <si>
    <t xml:space="preserve">Tablón de objetos perdidos con moderación</t>
  </si>
  <si>
    <t xml:space="preserve">Publicación y búsqueda de objetos; requiere autorización del administrador antes de mostrarse.</t>
  </si>
  <si>
    <t xml:space="preserve">19</t>
  </si>
  <si>
    <t xml:space="preserve">F2-16</t>
  </si>
  <si>
    <t xml:space="preserve">Módulo de reservaciones de amenidades</t>
  </si>
  <si>
    <t xml:space="preserve">Anticipación mínima de 2 días (o menor si sigue disponible), duración configurable (uno o varios días) y expiración automática, con bloqueo anti doble-booking.</t>
  </si>
  <si>
    <t xml:space="preserve">F2-17</t>
  </si>
  <si>
    <t xml:space="preserve">Flujo de aprobación de reservaciones</t>
  </si>
  <si>
    <t xml:space="preserve">Aprobadores designados por el administrador, notificación por los 3 canales, periodo límite configurable por amenidad y rechazo automático si nadie responde.</t>
  </si>
  <si>
    <t xml:space="preserve">F2-16,F1-12</t>
  </si>
  <si>
    <t xml:space="preserve">20</t>
  </si>
  <si>
    <t xml:space="preserve">F2-18</t>
  </si>
  <si>
    <t xml:space="preserve">Panel admin/vocero: gestión de votaciones y amenidades</t>
  </si>
  <si>
    <t xml:space="preserve">Configurar amenidades, aprobadores y crear votaciones.</t>
  </si>
  <si>
    <t xml:space="preserve">F2-14,F2-16</t>
  </si>
  <si>
    <t xml:space="preserve">F2-19</t>
  </si>
  <si>
    <t xml:space="preserve">App residente: votaciones, objetos perdidos y reservaciones</t>
  </si>
  <si>
    <t xml:space="preserve">Nuevas pantallas integradas al menú principal de la app.</t>
  </si>
  <si>
    <t xml:space="preserve">F2-14,F2-15,F2-17</t>
  </si>
  <si>
    <t xml:space="preserve">F2-20</t>
  </si>
  <si>
    <t xml:space="preserve">QA: pruebas de concurrencia en reservaciones</t>
  </si>
  <si>
    <t xml:space="preserve">Validar que dos residentes no reserven el mismo horario simultáneamente.</t>
  </si>
  <si>
    <t xml:space="preserve">21</t>
  </si>
  <si>
    <t xml:space="preserve">F2-21</t>
  </si>
  <si>
    <t xml:space="preserve">Seguridad de la información</t>
  </si>
  <si>
    <t xml:space="preserve">Auditoría de seguridad (pentest básico)</t>
  </si>
  <si>
    <t xml:space="preserve">Revisión de vulnerabilidades OWASP Top 10 antes de escalar.</t>
  </si>
  <si>
    <t xml:space="preserve">F2-22</t>
  </si>
  <si>
    <t xml:space="preserve">Optimización de rendimiento y consultas</t>
  </si>
  <si>
    <t xml:space="preserve">Revisar queries lentas e índices tras la beta cerrada.</t>
  </si>
  <si>
    <t xml:space="preserve">F2-23</t>
  </si>
  <si>
    <t xml:space="preserve">Beta ampliada con 10-15 condominios</t>
  </si>
  <si>
    <t xml:space="preserve">Escalar el piloto e iterar sobre feedback antes del lanzamiento comercial.</t>
  </si>
  <si>
    <t xml:space="preserve">F2-12,F2-19</t>
  </si>
  <si>
    <t xml:space="preserve">22</t>
  </si>
  <si>
    <t xml:space="preserve">F3-01</t>
  </si>
  <si>
    <t xml:space="preserve">Financiero</t>
  </si>
  <si>
    <t xml:space="preserve">Exportación de pólizas contables</t>
  </si>
  <si>
    <t xml:space="preserve">Exportar movimientos financieros en formato compatible con software contable (CONTPAQi, Aspel), sin timbrado fiscal.</t>
  </si>
  <si>
    <t xml:space="preserve">24</t>
  </si>
  <si>
    <t xml:space="preserve">F3-02</t>
  </si>
  <si>
    <t xml:space="preserve">Cumplimiento legal</t>
  </si>
  <si>
    <t xml:space="preserve">Cumplimiento de protección de datos (LFPDPPP)</t>
  </si>
  <si>
    <t xml:space="preserve">Aviso de privacidad, consentimiento, exportación y borrado de datos personales.</t>
  </si>
  <si>
    <t xml:space="preserve">F3-03</t>
  </si>
  <si>
    <t xml:space="preserve">Optimización de infraestructura para cobertura nacional</t>
  </si>
  <si>
    <t xml:space="preserve">Mejorar latencia y disponibilidad para clientes en CDMX, Guadalajara, Monterrey y otras ciudades.</t>
  </si>
  <si>
    <t xml:space="preserve">F3-04</t>
  </si>
  <si>
    <t xml:space="preserve">Datos</t>
  </si>
  <si>
    <t xml:space="preserve">Reportes avanzados y BI</t>
  </si>
  <si>
    <t xml:space="preserve">Dashboards ejecutivos para administradoras que manejan varios condominios.</t>
  </si>
  <si>
    <t xml:space="preserve">25</t>
  </si>
  <si>
    <t xml:space="preserve">F3-05</t>
  </si>
  <si>
    <t xml:space="preserve">Innovación</t>
  </si>
  <si>
    <t xml:space="preserve">Evaluación de integraciones IoT</t>
  </si>
  <si>
    <t xml:space="preserve">Explorar cámaras y control de acceso biométrico como add-on.</t>
  </si>
  <si>
    <t xml:space="preserve">Baja</t>
  </si>
  <si>
    <t xml:space="preserve">26</t>
  </si>
  <si>
    <t xml:space="preserve">F3-06</t>
  </si>
  <si>
    <t xml:space="preserve">Comercial</t>
  </si>
  <si>
    <t xml:space="preserve">Onboarding self-service para nuevos condominios</t>
  </si>
  <si>
    <t xml:space="preserve">Flujo de alta de condominio sin intervención manual del equipo.</t>
  </si>
  <si>
    <t xml:space="preserve">Hitos clave del proyecto</t>
  </si>
  <si>
    <t xml:space="preserve">Las fechas se calculan a partir de la fecha de inicio definida en la hoja Resumen (celda D5).</t>
  </si>
  <si>
    <t xml:space="preserve">Hito</t>
  </si>
  <si>
    <t xml:space="preserve">Semana</t>
  </si>
  <si>
    <t xml:space="preserve">Fecha estimada</t>
  </si>
  <si>
    <t xml:space="preserve">Fin de Fase 0 — Arquitectura y diseño aprobados</t>
  </si>
  <si>
    <t xml:space="preserve">Módulo de cuotas y pagos en staging</t>
  </si>
  <si>
    <t xml:space="preserve">MVP administrativo + comunicación listo para beta cerrada</t>
  </si>
  <si>
    <t xml:space="preserve">Inicio de beta cerrada con 2-3 condominios piloto</t>
  </si>
  <si>
    <t xml:space="preserve">Módulo de seguridad y control de accesos en staging</t>
  </si>
  <si>
    <t xml:space="preserve">Reservaciones y votaciones en staging</t>
  </si>
  <si>
    <t xml:space="preserve">Fin de Fase 2 — Inicio de beta ampliada (10-15 condominios)</t>
  </si>
  <si>
    <t xml:space="preserve">Cumplimiento LFPDPPP, BI y exportación contable en producción</t>
  </si>
  <si>
    <t xml:space="preserve">Lanzamiento comercial general en México (GA)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</si>
</sst>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D9D9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n">
        <v>46273</v>
      </c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A9" s="6"/>
      <c r="B9" s="6" t="s">
        <v>4</v>
      </c>
      <c r="C9" s="6" t="s">
        <v>5</v>
      </c>
      <c r="D9" s="6" t="s">
        <v>6</v>
      </c>
      <c r="E9" s="6" t="s">
        <v>7</v>
      </c>
    </row>
    <row r="10" customFormat="false" ht="23.85" hidden="false" customHeight="false" outlineLevel="0" collapsed="false">
      <c r="B10" s="7" t="s">
        <v>8</v>
      </c>
      <c r="C10" s="7" t="s">
        <v>9</v>
      </c>
      <c r="D10" s="7" t="s">
        <v>10</v>
      </c>
      <c r="E10" s="7" t="s">
        <v>11</v>
      </c>
    </row>
    <row r="11" customFormat="false" ht="23.85" hidden="false" customHeight="false" outlineLevel="0" collapsed="false">
      <c r="B11" s="7" t="s">
        <v>12</v>
      </c>
      <c r="C11" s="7" t="s">
        <v>13</v>
      </c>
      <c r="D11" s="7" t="s">
        <v>14</v>
      </c>
      <c r="E11" s="7" t="s">
        <v>15</v>
      </c>
    </row>
    <row r="12" customFormat="false" ht="35.05" hidden="false" customHeight="false" outlineLevel="0" collapsed="false">
      <c r="B12" s="7" t="s">
        <v>16</v>
      </c>
      <c r="C12" s="7" t="s">
        <v>17</v>
      </c>
      <c r="D12" s="7" t="s">
        <v>18</v>
      </c>
      <c r="E12" s="7" t="s">
        <v>19</v>
      </c>
    </row>
    <row r="13" customFormat="false" ht="35.05" hidden="false" customHeight="false" outlineLevel="0" collapsed="false">
      <c r="B13" s="7" t="s">
        <v>20</v>
      </c>
      <c r="C13" s="7" t="s">
        <v>21</v>
      </c>
      <c r="D13" s="7" t="s">
        <v>22</v>
      </c>
      <c r="E13" s="7" t="s">
        <v>23</v>
      </c>
    </row>
    <row r="16" customFormat="false" ht="15" hidden="false" customHeight="false" outlineLevel="0" collapsed="false">
      <c r="B16" s="5" t="s">
        <v>24</v>
      </c>
    </row>
    <row r="17" customFormat="false" ht="15" hidden="false" customHeight="false" outlineLevel="0" collapsed="false">
      <c r="A17" s="6"/>
      <c r="B17" s="6" t="s">
        <v>4</v>
      </c>
      <c r="C17" s="6" t="s">
        <v>25</v>
      </c>
      <c r="D17" s="8" t="s">
        <v>26</v>
      </c>
    </row>
    <row r="18" customFormat="false" ht="15" hidden="false" customHeight="false" outlineLevel="0" collapsed="false">
      <c r="B18" s="9" t="s">
        <v>27</v>
      </c>
      <c r="C18" s="9" t="n">
        <f aca="false">SUMIF('Plan de trabajo'!B:B,B18,'Plan de trabajo'!G:G)</f>
        <v>56</v>
      </c>
      <c r="D18" s="9" t="n">
        <f aca="false">COUNTIF('Plan de trabajo'!B:B,B18)</f>
        <v>17</v>
      </c>
    </row>
    <row r="19" customFormat="false" ht="15" hidden="false" customHeight="false" outlineLevel="0" collapsed="false">
      <c r="B19" s="9" t="s">
        <v>28</v>
      </c>
      <c r="C19" s="9" t="n">
        <f aca="false">SUMIF('Plan de trabajo'!B:B,B19,'Plan de trabajo'!G:G)</f>
        <v>126</v>
      </c>
      <c r="D19" s="9" t="n">
        <f aca="false">COUNTIF('Plan de trabajo'!B:B,B19)</f>
        <v>39</v>
      </c>
    </row>
    <row r="20" customFormat="false" ht="15" hidden="false" customHeight="false" outlineLevel="0" collapsed="false">
      <c r="B20" s="9" t="s">
        <v>29</v>
      </c>
      <c r="C20" s="9" t="n">
        <f aca="false">SUMIF('Plan de trabajo'!B:B,B20,'Plan de trabajo'!G:G)</f>
        <v>91</v>
      </c>
      <c r="D20" s="9" t="n">
        <f aca="false">COUNTIF('Plan de trabajo'!B:B,B20)</f>
        <v>23</v>
      </c>
    </row>
    <row r="21" customFormat="false" ht="15" hidden="false" customHeight="false" outlineLevel="0" collapsed="false">
      <c r="B21" s="9" t="s">
        <v>30</v>
      </c>
      <c r="C21" s="9" t="n">
        <f aca="false">SUMIF('Plan de trabajo'!B:B,B21,'Plan de trabajo'!G:G)</f>
        <v>27</v>
      </c>
      <c r="D21" s="9" t="n">
        <f aca="false">COUNTIF('Plan de trabajo'!B:B,B21)</f>
        <v>6</v>
      </c>
    </row>
    <row r="22" customFormat="false" ht="15" hidden="false" customHeight="false" outlineLevel="0" collapsed="false">
      <c r="B22" s="10" t="s">
        <v>31</v>
      </c>
      <c r="C22" s="10" t="n">
        <f aca="false">SUM(C18:C21)</f>
        <v>300</v>
      </c>
      <c r="D22" s="10" t="n">
        <f aca="false">SUM(D18:D21)</f>
        <v>85</v>
      </c>
    </row>
    <row r="25" customFormat="false" ht="15" hidden="false" customHeight="false" outlineLevel="0" collapsed="false">
      <c r="B25" s="5" t="s">
        <v>32</v>
      </c>
    </row>
    <row r="26" customFormat="false" ht="15" hidden="false" customHeight="false" outlineLevel="0" collapsed="false">
      <c r="A26" s="6"/>
      <c r="B26" s="6" t="s">
        <v>33</v>
      </c>
      <c r="C26" s="8" t="s">
        <v>25</v>
      </c>
    </row>
    <row r="27" customFormat="false" ht="15" hidden="false" customHeight="false" outlineLevel="0" collapsed="false">
      <c r="B27" s="9" t="s">
        <v>34</v>
      </c>
      <c r="C27" s="9" t="n">
        <f aca="false">SUMIF('Plan de trabajo'!F:F,B27,'Plan de trabajo'!G:G)</f>
        <v>22</v>
      </c>
    </row>
    <row r="28" customFormat="false" ht="15" hidden="false" customHeight="false" outlineLevel="0" collapsed="false">
      <c r="B28" s="9" t="s">
        <v>35</v>
      </c>
      <c r="C28" s="9" t="n">
        <f aca="false">SUMIF('Plan de trabajo'!F:F,B28,'Plan de trabajo'!G:G)</f>
        <v>19</v>
      </c>
    </row>
    <row r="29" customFormat="false" ht="15" hidden="false" customHeight="false" outlineLevel="0" collapsed="false">
      <c r="B29" s="9" t="s">
        <v>36</v>
      </c>
      <c r="C29" s="9" t="n">
        <f aca="false">SUMIF('Plan de trabajo'!F:F,B29,'Plan de trabajo'!G:G)</f>
        <v>14</v>
      </c>
    </row>
    <row r="30" customFormat="false" ht="15" hidden="false" customHeight="false" outlineLevel="0" collapsed="false">
      <c r="B30" s="9" t="s">
        <v>37</v>
      </c>
      <c r="C30" s="9" t="n">
        <f aca="false">SUMIF('Plan de trabajo'!F:F,B30,'Plan de trabajo'!G:G)</f>
        <v>134</v>
      </c>
    </row>
    <row r="31" customFormat="false" ht="15" hidden="false" customHeight="false" outlineLevel="0" collapsed="false">
      <c r="B31" s="9" t="s">
        <v>38</v>
      </c>
      <c r="C31" s="9" t="n">
        <f aca="false">SUMIF('Plan de trabajo'!F:F,B31,'Plan de trabajo'!G:G)</f>
        <v>34</v>
      </c>
    </row>
    <row r="32" customFormat="false" ht="15" hidden="false" customHeight="false" outlineLevel="0" collapsed="false">
      <c r="B32" s="9" t="s">
        <v>39</v>
      </c>
      <c r="C32" s="9" t="n">
        <f aca="false">SUMIF('Plan de trabajo'!F:F,B32,'Plan de trabajo'!G:G)</f>
        <v>41</v>
      </c>
    </row>
    <row r="33" customFormat="false" ht="15" hidden="false" customHeight="false" outlineLevel="0" collapsed="false">
      <c r="B33" s="9" t="s">
        <v>40</v>
      </c>
      <c r="C33" s="9" t="n">
        <f aca="false">SUMIF('Plan de trabajo'!F:F,B33,'Plan de trabajo'!G:G)</f>
        <v>22</v>
      </c>
    </row>
    <row r="34" customFormat="false" ht="15" hidden="false" customHeight="false" outlineLevel="0" collapsed="false">
      <c r="B34" s="9" t="s">
        <v>41</v>
      </c>
      <c r="C34" s="9" t="n">
        <f aca="false">SUMIF('Plan de trabajo'!F:F,B34,'Plan de trabajo'!G:G)</f>
        <v>14</v>
      </c>
    </row>
    <row r="35" customFormat="false" ht="15" hidden="false" customHeight="false" outlineLevel="0" collapsed="false">
      <c r="B35" s="9" t="s">
        <v>42</v>
      </c>
      <c r="C35" s="9" t="n">
        <f aca="false">SUMIF('Plan de trabajo'!F:F,B35,'Plan de trabajo'!G:G)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12"/>
  </cols>
  <sheetData>
    <row r="1" customFormat="false" ht="23.85" hidden="false" customHeight="false" outlineLevel="0" collapsed="false">
      <c r="A1" s="6" t="s">
        <v>43</v>
      </c>
      <c r="B1" s="6" t="s">
        <v>4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52</v>
      </c>
    </row>
    <row r="2" customFormat="false" ht="23.85" hidden="false" customHeight="false" outlineLevel="0" collapsed="false">
      <c r="A2" s="11" t="s">
        <v>53</v>
      </c>
      <c r="B2" s="12" t="s">
        <v>27</v>
      </c>
      <c r="C2" s="11" t="s">
        <v>54</v>
      </c>
      <c r="D2" s="7" t="s">
        <v>55</v>
      </c>
      <c r="E2" s="7" t="s">
        <v>56</v>
      </c>
      <c r="F2" s="11" t="s">
        <v>34</v>
      </c>
      <c r="G2" s="11" t="n">
        <v>3</v>
      </c>
      <c r="H2" s="13" t="s">
        <v>57</v>
      </c>
      <c r="I2" s="11"/>
      <c r="J2" s="11" t="s">
        <v>58</v>
      </c>
      <c r="K2" s="11" t="s">
        <v>59</v>
      </c>
    </row>
    <row r="3" customFormat="false" ht="23.85" hidden="false" customHeight="false" outlineLevel="0" collapsed="false">
      <c r="A3" s="11" t="s">
        <v>60</v>
      </c>
      <c r="B3" s="12" t="s">
        <v>27</v>
      </c>
      <c r="C3" s="11" t="s">
        <v>54</v>
      </c>
      <c r="D3" s="7" t="s">
        <v>61</v>
      </c>
      <c r="E3" s="7" t="s">
        <v>62</v>
      </c>
      <c r="F3" s="11" t="s">
        <v>34</v>
      </c>
      <c r="G3" s="11" t="n">
        <v>3</v>
      </c>
      <c r="H3" s="14" t="s">
        <v>63</v>
      </c>
      <c r="I3" s="11"/>
      <c r="J3" s="11" t="s">
        <v>58</v>
      </c>
      <c r="K3" s="11" t="s">
        <v>59</v>
      </c>
    </row>
    <row r="4" customFormat="false" ht="15" hidden="false" customHeight="false" outlineLevel="0" collapsed="false">
      <c r="A4" s="11" t="s">
        <v>64</v>
      </c>
      <c r="B4" s="12" t="s">
        <v>27</v>
      </c>
      <c r="C4" s="11" t="s">
        <v>54</v>
      </c>
      <c r="D4" s="7" t="s">
        <v>65</v>
      </c>
      <c r="E4" s="7" t="s">
        <v>66</v>
      </c>
      <c r="F4" s="11" t="s">
        <v>34</v>
      </c>
      <c r="G4" s="11" t="n">
        <v>4</v>
      </c>
      <c r="H4" s="13" t="s">
        <v>57</v>
      </c>
      <c r="I4" s="11"/>
      <c r="J4" s="11" t="s">
        <v>58</v>
      </c>
      <c r="K4" s="11" t="s">
        <v>59</v>
      </c>
    </row>
    <row r="5" customFormat="false" ht="23.85" hidden="false" customHeight="false" outlineLevel="0" collapsed="false">
      <c r="A5" s="11" t="s">
        <v>67</v>
      </c>
      <c r="B5" s="12" t="s">
        <v>27</v>
      </c>
      <c r="C5" s="11" t="s">
        <v>54</v>
      </c>
      <c r="D5" s="7" t="s">
        <v>68</v>
      </c>
      <c r="E5" s="7" t="s">
        <v>69</v>
      </c>
      <c r="F5" s="11" t="s">
        <v>34</v>
      </c>
      <c r="G5" s="11" t="n">
        <v>2</v>
      </c>
      <c r="H5" s="13" t="s">
        <v>57</v>
      </c>
      <c r="I5" s="11"/>
      <c r="J5" s="11" t="s">
        <v>70</v>
      </c>
      <c r="K5" s="11" t="s">
        <v>59</v>
      </c>
    </row>
    <row r="6" customFormat="false" ht="23.85" hidden="false" customHeight="false" outlineLevel="0" collapsed="false">
      <c r="A6" s="11" t="s">
        <v>71</v>
      </c>
      <c r="B6" s="12" t="s">
        <v>27</v>
      </c>
      <c r="C6" s="11" t="s">
        <v>72</v>
      </c>
      <c r="D6" s="7" t="s">
        <v>73</v>
      </c>
      <c r="E6" s="7" t="s">
        <v>74</v>
      </c>
      <c r="F6" s="11" t="s">
        <v>36</v>
      </c>
      <c r="G6" s="11" t="n">
        <v>2</v>
      </c>
      <c r="H6" s="13" t="s">
        <v>57</v>
      </c>
      <c r="I6" s="11"/>
      <c r="J6" s="11" t="s">
        <v>58</v>
      </c>
      <c r="K6" s="11" t="s">
        <v>59</v>
      </c>
    </row>
    <row r="7" customFormat="false" ht="23.85" hidden="false" customHeight="false" outlineLevel="0" collapsed="false">
      <c r="A7" s="11" t="s">
        <v>75</v>
      </c>
      <c r="B7" s="12" t="s">
        <v>27</v>
      </c>
      <c r="C7" s="11" t="s">
        <v>72</v>
      </c>
      <c r="D7" s="7" t="s">
        <v>76</v>
      </c>
      <c r="E7" s="7" t="s">
        <v>77</v>
      </c>
      <c r="F7" s="11" t="s">
        <v>36</v>
      </c>
      <c r="G7" s="11" t="n">
        <v>3</v>
      </c>
      <c r="H7" s="13" t="s">
        <v>57</v>
      </c>
      <c r="I7" s="11"/>
      <c r="J7" s="11" t="s">
        <v>70</v>
      </c>
      <c r="K7" s="11" t="s">
        <v>59</v>
      </c>
    </row>
    <row r="8" customFormat="false" ht="23.85" hidden="false" customHeight="false" outlineLevel="0" collapsed="false">
      <c r="A8" s="11" t="s">
        <v>78</v>
      </c>
      <c r="B8" s="12" t="s">
        <v>27</v>
      </c>
      <c r="C8" s="11" t="s">
        <v>72</v>
      </c>
      <c r="D8" s="7" t="s">
        <v>79</v>
      </c>
      <c r="E8" s="7" t="s">
        <v>80</v>
      </c>
      <c r="F8" s="11" t="s">
        <v>36</v>
      </c>
      <c r="G8" s="11" t="n">
        <v>4</v>
      </c>
      <c r="H8" s="13" t="s">
        <v>57</v>
      </c>
      <c r="I8" s="11"/>
      <c r="J8" s="11" t="s">
        <v>70</v>
      </c>
      <c r="K8" s="11" t="s">
        <v>59</v>
      </c>
    </row>
    <row r="9" customFormat="false" ht="23.85" hidden="false" customHeight="false" outlineLevel="0" collapsed="false">
      <c r="A9" s="11" t="s">
        <v>81</v>
      </c>
      <c r="B9" s="12" t="s">
        <v>27</v>
      </c>
      <c r="C9" s="11" t="s">
        <v>35</v>
      </c>
      <c r="D9" s="7" t="s">
        <v>82</v>
      </c>
      <c r="E9" s="7" t="s">
        <v>83</v>
      </c>
      <c r="F9" s="11" t="s">
        <v>35</v>
      </c>
      <c r="G9" s="11" t="n">
        <v>3</v>
      </c>
      <c r="H9" s="13" t="s">
        <v>57</v>
      </c>
      <c r="I9" s="11"/>
      <c r="J9" s="11" t="s">
        <v>58</v>
      </c>
      <c r="K9" s="11" t="s">
        <v>59</v>
      </c>
    </row>
    <row r="10" customFormat="false" ht="15" hidden="false" customHeight="false" outlineLevel="0" collapsed="false">
      <c r="A10" s="11" t="s">
        <v>84</v>
      </c>
      <c r="B10" s="12" t="s">
        <v>27</v>
      </c>
      <c r="C10" s="11" t="s">
        <v>35</v>
      </c>
      <c r="D10" s="7" t="s">
        <v>85</v>
      </c>
      <c r="E10" s="7" t="s">
        <v>86</v>
      </c>
      <c r="F10" s="11" t="s">
        <v>35</v>
      </c>
      <c r="G10" s="11" t="n">
        <v>5</v>
      </c>
      <c r="H10" s="13" t="s">
        <v>57</v>
      </c>
      <c r="I10" s="11"/>
      <c r="J10" s="11" t="s">
        <v>70</v>
      </c>
      <c r="K10" s="11" t="s">
        <v>59</v>
      </c>
    </row>
    <row r="11" customFormat="false" ht="15" hidden="false" customHeight="false" outlineLevel="0" collapsed="false">
      <c r="A11" s="11" t="s">
        <v>87</v>
      </c>
      <c r="B11" s="12" t="s">
        <v>27</v>
      </c>
      <c r="C11" s="11" t="s">
        <v>35</v>
      </c>
      <c r="D11" s="7" t="s">
        <v>88</v>
      </c>
      <c r="E11" s="7" t="s">
        <v>89</v>
      </c>
      <c r="F11" s="11" t="s">
        <v>35</v>
      </c>
      <c r="G11" s="11" t="n">
        <v>4</v>
      </c>
      <c r="H11" s="14" t="s">
        <v>63</v>
      </c>
      <c r="I11" s="11"/>
      <c r="J11" s="11" t="s">
        <v>70</v>
      </c>
      <c r="K11" s="11" t="s">
        <v>59</v>
      </c>
    </row>
    <row r="12" customFormat="false" ht="15" hidden="false" customHeight="false" outlineLevel="0" collapsed="false">
      <c r="A12" s="11" t="s">
        <v>90</v>
      </c>
      <c r="B12" s="12" t="s">
        <v>27</v>
      </c>
      <c r="C12" s="11" t="s">
        <v>35</v>
      </c>
      <c r="D12" s="7" t="s">
        <v>91</v>
      </c>
      <c r="E12" s="7" t="s">
        <v>92</v>
      </c>
      <c r="F12" s="11" t="s">
        <v>35</v>
      </c>
      <c r="G12" s="11" t="n">
        <v>5</v>
      </c>
      <c r="H12" s="13" t="s">
        <v>57</v>
      </c>
      <c r="I12" s="11" t="s">
        <v>84</v>
      </c>
      <c r="J12" s="11" t="s">
        <v>93</v>
      </c>
      <c r="K12" s="11" t="s">
        <v>59</v>
      </c>
    </row>
    <row r="13" customFormat="false" ht="15" hidden="false" customHeight="false" outlineLevel="0" collapsed="false">
      <c r="A13" s="11" t="s">
        <v>94</v>
      </c>
      <c r="B13" s="12" t="s">
        <v>27</v>
      </c>
      <c r="C13" s="11" t="s">
        <v>35</v>
      </c>
      <c r="D13" s="7" t="s">
        <v>95</v>
      </c>
      <c r="E13" s="7" t="s">
        <v>96</v>
      </c>
      <c r="F13" s="11" t="s">
        <v>35</v>
      </c>
      <c r="G13" s="11" t="n">
        <v>2</v>
      </c>
      <c r="H13" s="14" t="s">
        <v>63</v>
      </c>
      <c r="I13" s="11" t="s">
        <v>90</v>
      </c>
      <c r="J13" s="11" t="s">
        <v>93</v>
      </c>
      <c r="K13" s="11" t="s">
        <v>59</v>
      </c>
    </row>
    <row r="14" customFormat="false" ht="23.85" hidden="false" customHeight="false" outlineLevel="0" collapsed="false">
      <c r="A14" s="11" t="s">
        <v>97</v>
      </c>
      <c r="B14" s="12" t="s">
        <v>27</v>
      </c>
      <c r="C14" s="11" t="s">
        <v>98</v>
      </c>
      <c r="D14" s="7" t="s">
        <v>99</v>
      </c>
      <c r="E14" s="7" t="s">
        <v>100</v>
      </c>
      <c r="F14" s="11" t="s">
        <v>40</v>
      </c>
      <c r="G14" s="11" t="n">
        <v>1</v>
      </c>
      <c r="H14" s="13" t="s">
        <v>57</v>
      </c>
      <c r="I14" s="11"/>
      <c r="J14" s="11" t="s">
        <v>58</v>
      </c>
      <c r="K14" s="11" t="s">
        <v>59</v>
      </c>
    </row>
    <row r="15" customFormat="false" ht="15" hidden="false" customHeight="false" outlineLevel="0" collapsed="false">
      <c r="A15" s="11" t="s">
        <v>101</v>
      </c>
      <c r="B15" s="12" t="s">
        <v>27</v>
      </c>
      <c r="C15" s="11" t="s">
        <v>98</v>
      </c>
      <c r="D15" s="7" t="s">
        <v>102</v>
      </c>
      <c r="E15" s="7" t="s">
        <v>103</v>
      </c>
      <c r="F15" s="11" t="s">
        <v>40</v>
      </c>
      <c r="G15" s="11" t="n">
        <v>3</v>
      </c>
      <c r="H15" s="13" t="s">
        <v>57</v>
      </c>
      <c r="I15" s="11" t="s">
        <v>97</v>
      </c>
      <c r="J15" s="11" t="s">
        <v>70</v>
      </c>
      <c r="K15" s="11" t="s">
        <v>59</v>
      </c>
    </row>
    <row r="16" customFormat="false" ht="15" hidden="false" customHeight="false" outlineLevel="0" collapsed="false">
      <c r="A16" s="11" t="s">
        <v>104</v>
      </c>
      <c r="B16" s="12" t="s">
        <v>27</v>
      </c>
      <c r="C16" s="11" t="s">
        <v>98</v>
      </c>
      <c r="D16" s="7" t="s">
        <v>105</v>
      </c>
      <c r="E16" s="7" t="s">
        <v>106</v>
      </c>
      <c r="F16" s="11" t="s">
        <v>40</v>
      </c>
      <c r="G16" s="11" t="n">
        <v>4</v>
      </c>
      <c r="H16" s="13" t="s">
        <v>57</v>
      </c>
      <c r="I16" s="11"/>
      <c r="J16" s="11" t="s">
        <v>70</v>
      </c>
      <c r="K16" s="11" t="s">
        <v>59</v>
      </c>
    </row>
    <row r="17" customFormat="false" ht="15" hidden="false" customHeight="false" outlineLevel="0" collapsed="false">
      <c r="A17" s="11" t="s">
        <v>107</v>
      </c>
      <c r="B17" s="12" t="s">
        <v>27</v>
      </c>
      <c r="C17" s="11" t="s">
        <v>98</v>
      </c>
      <c r="D17" s="7" t="s">
        <v>108</v>
      </c>
      <c r="E17" s="7" t="s">
        <v>109</v>
      </c>
      <c r="F17" s="11" t="s">
        <v>40</v>
      </c>
      <c r="G17" s="11" t="n">
        <v>3</v>
      </c>
      <c r="H17" s="14" t="s">
        <v>63</v>
      </c>
      <c r="I17" s="11" t="s">
        <v>104</v>
      </c>
      <c r="J17" s="11" t="s">
        <v>93</v>
      </c>
      <c r="K17" s="11" t="s">
        <v>59</v>
      </c>
    </row>
    <row r="18" customFormat="false" ht="23.85" hidden="false" customHeight="false" outlineLevel="0" collapsed="false">
      <c r="A18" s="11" t="s">
        <v>110</v>
      </c>
      <c r="B18" s="12" t="s">
        <v>27</v>
      </c>
      <c r="C18" s="11" t="s">
        <v>37</v>
      </c>
      <c r="D18" s="7" t="s">
        <v>111</v>
      </c>
      <c r="E18" s="7" t="s">
        <v>112</v>
      </c>
      <c r="F18" s="11" t="s">
        <v>37</v>
      </c>
      <c r="G18" s="11" t="n">
        <v>5</v>
      </c>
      <c r="H18" s="13" t="s">
        <v>57</v>
      </c>
      <c r="I18" s="11" t="s">
        <v>113</v>
      </c>
      <c r="J18" s="11" t="s">
        <v>93</v>
      </c>
      <c r="K18" s="11" t="s">
        <v>59</v>
      </c>
    </row>
    <row r="19" customFormat="false" ht="35.05" hidden="false" customHeight="false" outlineLevel="0" collapsed="false">
      <c r="A19" s="11" t="s">
        <v>114</v>
      </c>
      <c r="B19" s="15" t="s">
        <v>28</v>
      </c>
      <c r="C19" s="11" t="s">
        <v>115</v>
      </c>
      <c r="D19" s="7" t="s">
        <v>116</v>
      </c>
      <c r="E19" s="7" t="s">
        <v>117</v>
      </c>
      <c r="F19" s="11" t="s">
        <v>37</v>
      </c>
      <c r="G19" s="11" t="n">
        <v>5</v>
      </c>
      <c r="H19" s="13" t="s">
        <v>57</v>
      </c>
      <c r="I19" s="11" t="s">
        <v>118</v>
      </c>
      <c r="J19" s="11" t="s">
        <v>119</v>
      </c>
      <c r="K19" s="11" t="s">
        <v>59</v>
      </c>
    </row>
    <row r="20" customFormat="false" ht="23.85" hidden="false" customHeight="false" outlineLevel="0" collapsed="false">
      <c r="A20" s="11" t="s">
        <v>120</v>
      </c>
      <c r="B20" s="15" t="s">
        <v>28</v>
      </c>
      <c r="C20" s="11" t="s">
        <v>115</v>
      </c>
      <c r="D20" s="7" t="s">
        <v>121</v>
      </c>
      <c r="E20" s="7" t="s">
        <v>122</v>
      </c>
      <c r="F20" s="11" t="s">
        <v>37</v>
      </c>
      <c r="G20" s="11" t="n">
        <v>4</v>
      </c>
      <c r="H20" s="13" t="s">
        <v>57</v>
      </c>
      <c r="I20" s="11" t="s">
        <v>114</v>
      </c>
      <c r="J20" s="11" t="s">
        <v>119</v>
      </c>
      <c r="K20" s="11" t="s">
        <v>59</v>
      </c>
    </row>
    <row r="21" customFormat="false" ht="15" hidden="false" customHeight="false" outlineLevel="0" collapsed="false">
      <c r="A21" s="11" t="s">
        <v>123</v>
      </c>
      <c r="B21" s="15" t="s">
        <v>28</v>
      </c>
      <c r="C21" s="11" t="s">
        <v>115</v>
      </c>
      <c r="D21" s="7" t="s">
        <v>124</v>
      </c>
      <c r="E21" s="7" t="s">
        <v>125</v>
      </c>
      <c r="F21" s="11" t="s">
        <v>37</v>
      </c>
      <c r="G21" s="11" t="n">
        <v>3</v>
      </c>
      <c r="H21" s="13" t="s">
        <v>57</v>
      </c>
      <c r="I21" s="11" t="s">
        <v>120</v>
      </c>
      <c r="J21" s="11" t="s">
        <v>126</v>
      </c>
      <c r="K21" s="11" t="s">
        <v>59</v>
      </c>
    </row>
    <row r="22" customFormat="false" ht="23.85" hidden="false" customHeight="false" outlineLevel="0" collapsed="false">
      <c r="A22" s="11" t="s">
        <v>127</v>
      </c>
      <c r="B22" s="15" t="s">
        <v>28</v>
      </c>
      <c r="C22" s="11" t="s">
        <v>115</v>
      </c>
      <c r="D22" s="7" t="s">
        <v>128</v>
      </c>
      <c r="E22" s="7" t="s">
        <v>129</v>
      </c>
      <c r="F22" s="11" t="s">
        <v>37</v>
      </c>
      <c r="G22" s="11" t="n">
        <v>3</v>
      </c>
      <c r="H22" s="14" t="s">
        <v>63</v>
      </c>
      <c r="I22" s="11" t="s">
        <v>123</v>
      </c>
      <c r="J22" s="11" t="s">
        <v>126</v>
      </c>
      <c r="K22" s="11" t="s">
        <v>59</v>
      </c>
    </row>
    <row r="23" customFormat="false" ht="23.85" hidden="false" customHeight="false" outlineLevel="0" collapsed="false">
      <c r="A23" s="11" t="s">
        <v>130</v>
      </c>
      <c r="B23" s="15" t="s">
        <v>28</v>
      </c>
      <c r="C23" s="11" t="s">
        <v>115</v>
      </c>
      <c r="D23" s="7" t="s">
        <v>131</v>
      </c>
      <c r="E23" s="7" t="s">
        <v>132</v>
      </c>
      <c r="F23" s="11" t="s">
        <v>37</v>
      </c>
      <c r="G23" s="11" t="n">
        <v>3</v>
      </c>
      <c r="H23" s="13" t="s">
        <v>57</v>
      </c>
      <c r="I23" s="11" t="s">
        <v>114</v>
      </c>
      <c r="J23" s="11" t="s">
        <v>126</v>
      </c>
      <c r="K23" s="11" t="s">
        <v>59</v>
      </c>
    </row>
    <row r="24" customFormat="false" ht="35.05" hidden="false" customHeight="false" outlineLevel="0" collapsed="false">
      <c r="A24" s="11" t="s">
        <v>133</v>
      </c>
      <c r="B24" s="15" t="s">
        <v>28</v>
      </c>
      <c r="C24" s="11" t="s">
        <v>115</v>
      </c>
      <c r="D24" s="7" t="s">
        <v>134</v>
      </c>
      <c r="E24" s="7" t="s">
        <v>135</v>
      </c>
      <c r="F24" s="11" t="s">
        <v>37</v>
      </c>
      <c r="G24" s="11" t="n">
        <v>6</v>
      </c>
      <c r="H24" s="13" t="s">
        <v>57</v>
      </c>
      <c r="I24" s="11" t="s">
        <v>130</v>
      </c>
      <c r="J24" s="11" t="s">
        <v>136</v>
      </c>
      <c r="K24" s="11" t="s">
        <v>59</v>
      </c>
    </row>
    <row r="25" customFormat="false" ht="35.05" hidden="false" customHeight="false" outlineLevel="0" collapsed="false">
      <c r="A25" s="11" t="s">
        <v>137</v>
      </c>
      <c r="B25" s="15" t="s">
        <v>28</v>
      </c>
      <c r="C25" s="11" t="s">
        <v>115</v>
      </c>
      <c r="D25" s="7" t="s">
        <v>138</v>
      </c>
      <c r="E25" s="7" t="s">
        <v>139</v>
      </c>
      <c r="F25" s="11" t="s">
        <v>37</v>
      </c>
      <c r="G25" s="11" t="n">
        <v>4</v>
      </c>
      <c r="H25" s="13" t="s">
        <v>57</v>
      </c>
      <c r="I25" s="11" t="s">
        <v>140</v>
      </c>
      <c r="J25" s="11" t="s">
        <v>136</v>
      </c>
      <c r="K25" s="11" t="s">
        <v>59</v>
      </c>
    </row>
    <row r="26" customFormat="false" ht="23.85" hidden="false" customHeight="false" outlineLevel="0" collapsed="false">
      <c r="A26" s="11" t="s">
        <v>141</v>
      </c>
      <c r="B26" s="15" t="s">
        <v>28</v>
      </c>
      <c r="C26" s="11" t="s">
        <v>115</v>
      </c>
      <c r="D26" s="7" t="s">
        <v>142</v>
      </c>
      <c r="E26" s="7" t="s">
        <v>143</v>
      </c>
      <c r="F26" s="11" t="s">
        <v>37</v>
      </c>
      <c r="G26" s="11" t="n">
        <v>3</v>
      </c>
      <c r="H26" s="14" t="s">
        <v>63</v>
      </c>
      <c r="I26" s="11" t="s">
        <v>137</v>
      </c>
      <c r="J26" s="11" t="s">
        <v>144</v>
      </c>
      <c r="K26" s="11" t="s">
        <v>59</v>
      </c>
    </row>
    <row r="27" customFormat="false" ht="23.85" hidden="false" customHeight="false" outlineLevel="0" collapsed="false">
      <c r="A27" s="11" t="s">
        <v>145</v>
      </c>
      <c r="B27" s="15" t="s">
        <v>28</v>
      </c>
      <c r="C27" s="11" t="s">
        <v>115</v>
      </c>
      <c r="D27" s="7" t="s">
        <v>146</v>
      </c>
      <c r="E27" s="7" t="s">
        <v>147</v>
      </c>
      <c r="F27" s="11" t="s">
        <v>37</v>
      </c>
      <c r="G27" s="11" t="n">
        <v>3</v>
      </c>
      <c r="H27" s="14" t="s">
        <v>63</v>
      </c>
      <c r="I27" s="11" t="s">
        <v>137</v>
      </c>
      <c r="J27" s="11" t="s">
        <v>144</v>
      </c>
      <c r="K27" s="11" t="s">
        <v>59</v>
      </c>
    </row>
    <row r="28" customFormat="false" ht="23.85" hidden="false" customHeight="false" outlineLevel="0" collapsed="false">
      <c r="A28" s="11" t="s">
        <v>148</v>
      </c>
      <c r="B28" s="15" t="s">
        <v>28</v>
      </c>
      <c r="C28" s="11" t="s">
        <v>115</v>
      </c>
      <c r="D28" s="7" t="s">
        <v>149</v>
      </c>
      <c r="E28" s="7" t="s">
        <v>150</v>
      </c>
      <c r="F28" s="11" t="s">
        <v>37</v>
      </c>
      <c r="G28" s="11" t="n">
        <v>3</v>
      </c>
      <c r="H28" s="13" t="s">
        <v>57</v>
      </c>
      <c r="I28" s="11" t="s">
        <v>137</v>
      </c>
      <c r="J28" s="11" t="s">
        <v>144</v>
      </c>
      <c r="K28" s="11" t="s">
        <v>59</v>
      </c>
    </row>
    <row r="29" customFormat="false" ht="23.85" hidden="false" customHeight="false" outlineLevel="0" collapsed="false">
      <c r="A29" s="11" t="s">
        <v>151</v>
      </c>
      <c r="B29" s="15" t="s">
        <v>28</v>
      </c>
      <c r="C29" s="11" t="s">
        <v>115</v>
      </c>
      <c r="D29" s="7" t="s">
        <v>152</v>
      </c>
      <c r="E29" s="7" t="s">
        <v>153</v>
      </c>
      <c r="F29" s="11" t="s">
        <v>37</v>
      </c>
      <c r="G29" s="11" t="n">
        <v>2</v>
      </c>
      <c r="H29" s="14" t="s">
        <v>63</v>
      </c>
      <c r="I29" s="11" t="s">
        <v>137</v>
      </c>
      <c r="J29" s="11" t="s">
        <v>144</v>
      </c>
      <c r="K29" s="11" t="s">
        <v>59</v>
      </c>
    </row>
    <row r="30" customFormat="false" ht="35.05" hidden="false" customHeight="false" outlineLevel="0" collapsed="false">
      <c r="A30" s="11" t="s">
        <v>154</v>
      </c>
      <c r="B30" s="15" t="s">
        <v>28</v>
      </c>
      <c r="C30" s="11" t="s">
        <v>155</v>
      </c>
      <c r="D30" s="7" t="s">
        <v>156</v>
      </c>
      <c r="E30" s="7" t="s">
        <v>157</v>
      </c>
      <c r="F30" s="11" t="s">
        <v>37</v>
      </c>
      <c r="G30" s="11" t="n">
        <v>5</v>
      </c>
      <c r="H30" s="13" t="s">
        <v>57</v>
      </c>
      <c r="I30" s="11" t="s">
        <v>110</v>
      </c>
      <c r="J30" s="11" t="s">
        <v>126</v>
      </c>
      <c r="K30" s="11" t="s">
        <v>59</v>
      </c>
    </row>
    <row r="31" customFormat="false" ht="23.85" hidden="false" customHeight="false" outlineLevel="0" collapsed="false">
      <c r="A31" s="11" t="s">
        <v>158</v>
      </c>
      <c r="B31" s="15" t="s">
        <v>28</v>
      </c>
      <c r="C31" s="11" t="s">
        <v>115</v>
      </c>
      <c r="D31" s="7" t="s">
        <v>159</v>
      </c>
      <c r="E31" s="7" t="s">
        <v>160</v>
      </c>
      <c r="F31" s="11" t="s">
        <v>37</v>
      </c>
      <c r="G31" s="11" t="n">
        <v>3</v>
      </c>
      <c r="H31" s="13" t="s">
        <v>57</v>
      </c>
      <c r="I31" s="11" t="s">
        <v>161</v>
      </c>
      <c r="J31" s="11" t="s">
        <v>144</v>
      </c>
      <c r="K31" s="11" t="s">
        <v>59</v>
      </c>
    </row>
    <row r="32" customFormat="false" ht="23.85" hidden="false" customHeight="false" outlineLevel="0" collapsed="false">
      <c r="A32" s="11" t="s">
        <v>162</v>
      </c>
      <c r="B32" s="15" t="s">
        <v>28</v>
      </c>
      <c r="C32" s="11" t="s">
        <v>115</v>
      </c>
      <c r="D32" s="7" t="s">
        <v>163</v>
      </c>
      <c r="E32" s="7" t="s">
        <v>164</v>
      </c>
      <c r="F32" s="11" t="s">
        <v>37</v>
      </c>
      <c r="G32" s="11" t="n">
        <v>3</v>
      </c>
      <c r="H32" s="13" t="s">
        <v>57</v>
      </c>
      <c r="I32" s="11" t="s">
        <v>165</v>
      </c>
      <c r="J32" s="11" t="s">
        <v>166</v>
      </c>
      <c r="K32" s="11" t="s">
        <v>59</v>
      </c>
    </row>
    <row r="33" customFormat="false" ht="23.85" hidden="false" customHeight="false" outlineLevel="0" collapsed="false">
      <c r="A33" s="11" t="s">
        <v>167</v>
      </c>
      <c r="B33" s="15" t="s">
        <v>28</v>
      </c>
      <c r="C33" s="11" t="s">
        <v>115</v>
      </c>
      <c r="D33" s="7" t="s">
        <v>168</v>
      </c>
      <c r="E33" s="7" t="s">
        <v>169</v>
      </c>
      <c r="F33" s="11" t="s">
        <v>37</v>
      </c>
      <c r="G33" s="11" t="n">
        <v>3</v>
      </c>
      <c r="H33" s="14" t="s">
        <v>63</v>
      </c>
      <c r="I33" s="11" t="s">
        <v>114</v>
      </c>
      <c r="J33" s="11" t="s">
        <v>144</v>
      </c>
      <c r="K33" s="11" t="s">
        <v>59</v>
      </c>
    </row>
    <row r="34" customFormat="false" ht="23.85" hidden="false" customHeight="false" outlineLevel="0" collapsed="false">
      <c r="A34" s="11" t="s">
        <v>170</v>
      </c>
      <c r="B34" s="15" t="s">
        <v>28</v>
      </c>
      <c r="C34" s="11" t="s">
        <v>115</v>
      </c>
      <c r="D34" s="7" t="s">
        <v>171</v>
      </c>
      <c r="E34" s="7" t="s">
        <v>172</v>
      </c>
      <c r="F34" s="11" t="s">
        <v>37</v>
      </c>
      <c r="G34" s="11" t="n">
        <v>3</v>
      </c>
      <c r="H34" s="14" t="s">
        <v>63</v>
      </c>
      <c r="I34" s="11" t="s">
        <v>167</v>
      </c>
      <c r="J34" s="11" t="s">
        <v>166</v>
      </c>
      <c r="K34" s="11" t="s">
        <v>59</v>
      </c>
    </row>
    <row r="35" customFormat="false" ht="23.85" hidden="false" customHeight="false" outlineLevel="0" collapsed="false">
      <c r="A35" s="11" t="s">
        <v>173</v>
      </c>
      <c r="B35" s="15" t="s">
        <v>28</v>
      </c>
      <c r="C35" s="11" t="s">
        <v>115</v>
      </c>
      <c r="D35" s="7" t="s">
        <v>174</v>
      </c>
      <c r="E35" s="7" t="s">
        <v>175</v>
      </c>
      <c r="F35" s="11" t="s">
        <v>37</v>
      </c>
      <c r="G35" s="11" t="n">
        <v>3</v>
      </c>
      <c r="H35" s="14" t="s">
        <v>63</v>
      </c>
      <c r="I35" s="11" t="s">
        <v>176</v>
      </c>
      <c r="J35" s="11" t="s">
        <v>166</v>
      </c>
      <c r="K35" s="11" t="s">
        <v>59</v>
      </c>
    </row>
    <row r="36" customFormat="false" ht="15" hidden="false" customHeight="false" outlineLevel="0" collapsed="false">
      <c r="A36" s="11" t="s">
        <v>177</v>
      </c>
      <c r="B36" s="15" t="s">
        <v>28</v>
      </c>
      <c r="C36" s="11" t="s">
        <v>115</v>
      </c>
      <c r="D36" s="7" t="s">
        <v>178</v>
      </c>
      <c r="E36" s="7" t="s">
        <v>179</v>
      </c>
      <c r="F36" s="11" t="s">
        <v>38</v>
      </c>
      <c r="G36" s="11" t="n">
        <v>4</v>
      </c>
      <c r="H36" s="13" t="s">
        <v>57</v>
      </c>
      <c r="I36" s="11" t="s">
        <v>114</v>
      </c>
      <c r="J36" s="11" t="s">
        <v>126</v>
      </c>
      <c r="K36" s="11" t="s">
        <v>59</v>
      </c>
    </row>
    <row r="37" customFormat="false" ht="23.85" hidden="false" customHeight="false" outlineLevel="0" collapsed="false">
      <c r="A37" s="11" t="s">
        <v>180</v>
      </c>
      <c r="B37" s="15" t="s">
        <v>28</v>
      </c>
      <c r="C37" s="11" t="s">
        <v>115</v>
      </c>
      <c r="D37" s="7" t="s">
        <v>181</v>
      </c>
      <c r="E37" s="7" t="s">
        <v>182</v>
      </c>
      <c r="F37" s="11" t="s">
        <v>38</v>
      </c>
      <c r="G37" s="11" t="n">
        <v>3</v>
      </c>
      <c r="H37" s="13" t="s">
        <v>57</v>
      </c>
      <c r="I37" s="11" t="s">
        <v>120</v>
      </c>
      <c r="J37" s="11" t="s">
        <v>126</v>
      </c>
      <c r="K37" s="11" t="s">
        <v>59</v>
      </c>
    </row>
    <row r="38" customFormat="false" ht="23.85" hidden="false" customHeight="false" outlineLevel="0" collapsed="false">
      <c r="A38" s="11" t="s">
        <v>183</v>
      </c>
      <c r="B38" s="15" t="s">
        <v>28</v>
      </c>
      <c r="C38" s="11" t="s">
        <v>115</v>
      </c>
      <c r="D38" s="7" t="s">
        <v>184</v>
      </c>
      <c r="E38" s="7" t="s">
        <v>185</v>
      </c>
      <c r="F38" s="11" t="s">
        <v>38</v>
      </c>
      <c r="G38" s="11" t="n">
        <v>2</v>
      </c>
      <c r="H38" s="13" t="s">
        <v>57</v>
      </c>
      <c r="I38" s="11" t="s">
        <v>130</v>
      </c>
      <c r="J38" s="11" t="s">
        <v>136</v>
      </c>
      <c r="K38" s="11" t="s">
        <v>59</v>
      </c>
    </row>
    <row r="39" customFormat="false" ht="15" hidden="false" customHeight="false" outlineLevel="0" collapsed="false">
      <c r="A39" s="11" t="s">
        <v>186</v>
      </c>
      <c r="B39" s="15" t="s">
        <v>28</v>
      </c>
      <c r="C39" s="11" t="s">
        <v>115</v>
      </c>
      <c r="D39" s="7" t="s">
        <v>187</v>
      </c>
      <c r="E39" s="7" t="s">
        <v>188</v>
      </c>
      <c r="F39" s="11" t="s">
        <v>38</v>
      </c>
      <c r="G39" s="11" t="n">
        <v>4</v>
      </c>
      <c r="H39" s="13" t="s">
        <v>57</v>
      </c>
      <c r="I39" s="11" t="s">
        <v>162</v>
      </c>
      <c r="J39" s="11" t="s">
        <v>166</v>
      </c>
      <c r="K39" s="11" t="s">
        <v>59</v>
      </c>
    </row>
    <row r="40" customFormat="false" ht="23.85" hidden="false" customHeight="false" outlineLevel="0" collapsed="false">
      <c r="A40" s="11" t="s">
        <v>189</v>
      </c>
      <c r="B40" s="15" t="s">
        <v>28</v>
      </c>
      <c r="C40" s="11" t="s">
        <v>115</v>
      </c>
      <c r="D40" s="7" t="s">
        <v>190</v>
      </c>
      <c r="E40" s="7" t="s">
        <v>191</v>
      </c>
      <c r="F40" s="11" t="s">
        <v>38</v>
      </c>
      <c r="G40" s="11" t="n">
        <v>3</v>
      </c>
      <c r="H40" s="14" t="s">
        <v>63</v>
      </c>
      <c r="I40" s="11" t="s">
        <v>170</v>
      </c>
      <c r="J40" s="11" t="s">
        <v>166</v>
      </c>
      <c r="K40" s="11" t="s">
        <v>59</v>
      </c>
    </row>
    <row r="41" customFormat="false" ht="15" hidden="false" customHeight="false" outlineLevel="0" collapsed="false">
      <c r="A41" s="11" t="s">
        <v>192</v>
      </c>
      <c r="B41" s="15" t="s">
        <v>28</v>
      </c>
      <c r="C41" s="11" t="s">
        <v>115</v>
      </c>
      <c r="D41" s="7" t="s">
        <v>193</v>
      </c>
      <c r="E41" s="7" t="s">
        <v>194</v>
      </c>
      <c r="F41" s="11" t="s">
        <v>38</v>
      </c>
      <c r="G41" s="11" t="n">
        <v>2</v>
      </c>
      <c r="H41" s="14" t="s">
        <v>63</v>
      </c>
      <c r="I41" s="11" t="s">
        <v>173</v>
      </c>
      <c r="J41" s="11" t="s">
        <v>166</v>
      </c>
      <c r="K41" s="11" t="s">
        <v>59</v>
      </c>
    </row>
    <row r="42" customFormat="false" ht="15" hidden="false" customHeight="false" outlineLevel="0" collapsed="false">
      <c r="A42" s="11" t="s">
        <v>195</v>
      </c>
      <c r="B42" s="15" t="s">
        <v>28</v>
      </c>
      <c r="C42" s="11" t="s">
        <v>115</v>
      </c>
      <c r="D42" s="7" t="s">
        <v>196</v>
      </c>
      <c r="E42" s="7" t="s">
        <v>197</v>
      </c>
      <c r="F42" s="11" t="s">
        <v>39</v>
      </c>
      <c r="G42" s="11" t="n">
        <v>4</v>
      </c>
      <c r="H42" s="13" t="s">
        <v>57</v>
      </c>
      <c r="I42" s="11" t="s">
        <v>162</v>
      </c>
      <c r="J42" s="11" t="s">
        <v>166</v>
      </c>
      <c r="K42" s="11" t="s">
        <v>59</v>
      </c>
    </row>
    <row r="43" customFormat="false" ht="23.85" hidden="false" customHeight="false" outlineLevel="0" collapsed="false">
      <c r="A43" s="11" t="s">
        <v>198</v>
      </c>
      <c r="B43" s="15" t="s">
        <v>28</v>
      </c>
      <c r="C43" s="11" t="s">
        <v>115</v>
      </c>
      <c r="D43" s="7" t="s">
        <v>199</v>
      </c>
      <c r="E43" s="7" t="s">
        <v>200</v>
      </c>
      <c r="F43" s="11" t="s">
        <v>39</v>
      </c>
      <c r="G43" s="11" t="n">
        <v>2</v>
      </c>
      <c r="H43" s="13" t="s">
        <v>57</v>
      </c>
      <c r="I43" s="11" t="s">
        <v>130</v>
      </c>
      <c r="J43" s="11" t="s">
        <v>166</v>
      </c>
      <c r="K43" s="11" t="s">
        <v>59</v>
      </c>
    </row>
    <row r="44" customFormat="false" ht="23.85" hidden="false" customHeight="false" outlineLevel="0" collapsed="false">
      <c r="A44" s="11" t="s">
        <v>201</v>
      </c>
      <c r="B44" s="15" t="s">
        <v>28</v>
      </c>
      <c r="C44" s="11" t="s">
        <v>115</v>
      </c>
      <c r="D44" s="7" t="s">
        <v>202</v>
      </c>
      <c r="E44" s="7" t="s">
        <v>203</v>
      </c>
      <c r="F44" s="11" t="s">
        <v>39</v>
      </c>
      <c r="G44" s="11" t="n">
        <v>5</v>
      </c>
      <c r="H44" s="13" t="s">
        <v>57</v>
      </c>
      <c r="I44" s="11" t="s">
        <v>204</v>
      </c>
      <c r="J44" s="11" t="s">
        <v>205</v>
      </c>
      <c r="K44" s="11" t="s">
        <v>59</v>
      </c>
    </row>
    <row r="45" customFormat="false" ht="15" hidden="false" customHeight="false" outlineLevel="0" collapsed="false">
      <c r="A45" s="11" t="s">
        <v>206</v>
      </c>
      <c r="B45" s="15" t="s">
        <v>28</v>
      </c>
      <c r="C45" s="11" t="s">
        <v>115</v>
      </c>
      <c r="D45" s="7" t="s">
        <v>207</v>
      </c>
      <c r="E45" s="7" t="s">
        <v>208</v>
      </c>
      <c r="F45" s="11" t="s">
        <v>39</v>
      </c>
      <c r="G45" s="11" t="n">
        <v>2</v>
      </c>
      <c r="H45" s="14" t="s">
        <v>63</v>
      </c>
      <c r="I45" s="11" t="s">
        <v>151</v>
      </c>
      <c r="J45" s="11" t="s">
        <v>205</v>
      </c>
      <c r="K45" s="11" t="s">
        <v>59</v>
      </c>
    </row>
    <row r="46" customFormat="false" ht="35.05" hidden="false" customHeight="false" outlineLevel="0" collapsed="false">
      <c r="A46" s="11" t="s">
        <v>209</v>
      </c>
      <c r="B46" s="15" t="s">
        <v>28</v>
      </c>
      <c r="C46" s="11" t="s">
        <v>115</v>
      </c>
      <c r="D46" s="7" t="s">
        <v>210</v>
      </c>
      <c r="E46" s="7" t="s">
        <v>211</v>
      </c>
      <c r="F46" s="11" t="s">
        <v>39</v>
      </c>
      <c r="G46" s="11" t="n">
        <v>3</v>
      </c>
      <c r="H46" s="13" t="s">
        <v>57</v>
      </c>
      <c r="I46" s="11" t="s">
        <v>167</v>
      </c>
      <c r="J46" s="11" t="s">
        <v>205</v>
      </c>
      <c r="K46" s="11" t="s">
        <v>59</v>
      </c>
    </row>
    <row r="47" customFormat="false" ht="23.85" hidden="false" customHeight="false" outlineLevel="0" collapsed="false">
      <c r="A47" s="11" t="s">
        <v>212</v>
      </c>
      <c r="B47" s="15" t="s">
        <v>28</v>
      </c>
      <c r="C47" s="11" t="s">
        <v>115</v>
      </c>
      <c r="D47" s="7" t="s">
        <v>213</v>
      </c>
      <c r="E47" s="7" t="s">
        <v>214</v>
      </c>
      <c r="F47" s="11" t="s">
        <v>41</v>
      </c>
      <c r="G47" s="11" t="n">
        <v>4</v>
      </c>
      <c r="H47" s="13" t="s">
        <v>57</v>
      </c>
      <c r="I47" s="11" t="s">
        <v>215</v>
      </c>
      <c r="J47" s="11" t="s">
        <v>205</v>
      </c>
      <c r="K47" s="11" t="s">
        <v>59</v>
      </c>
    </row>
    <row r="48" customFormat="false" ht="15" hidden="false" customHeight="false" outlineLevel="0" collapsed="false">
      <c r="A48" s="11" t="s">
        <v>216</v>
      </c>
      <c r="B48" s="15" t="s">
        <v>28</v>
      </c>
      <c r="C48" s="11" t="s">
        <v>155</v>
      </c>
      <c r="D48" s="7" t="s">
        <v>217</v>
      </c>
      <c r="E48" s="7" t="s">
        <v>218</v>
      </c>
      <c r="F48" s="11" t="s">
        <v>37</v>
      </c>
      <c r="G48" s="11" t="n">
        <v>3</v>
      </c>
      <c r="H48" s="13" t="s">
        <v>57</v>
      </c>
      <c r="I48" s="11" t="s">
        <v>78</v>
      </c>
      <c r="J48" s="11" t="s">
        <v>136</v>
      </c>
      <c r="K48" s="11" t="s">
        <v>59</v>
      </c>
    </row>
    <row r="49" customFormat="false" ht="15" hidden="false" customHeight="false" outlineLevel="0" collapsed="false">
      <c r="A49" s="11" t="s">
        <v>219</v>
      </c>
      <c r="B49" s="15" t="s">
        <v>28</v>
      </c>
      <c r="C49" s="11" t="s">
        <v>155</v>
      </c>
      <c r="D49" s="7" t="s">
        <v>220</v>
      </c>
      <c r="E49" s="7" t="s">
        <v>221</v>
      </c>
      <c r="F49" s="11" t="s">
        <v>37</v>
      </c>
      <c r="G49" s="11" t="n">
        <v>2</v>
      </c>
      <c r="H49" s="14" t="s">
        <v>63</v>
      </c>
      <c r="I49" s="11" t="s">
        <v>216</v>
      </c>
      <c r="J49" s="11" t="s">
        <v>136</v>
      </c>
      <c r="K49" s="11" t="s">
        <v>59</v>
      </c>
    </row>
    <row r="50" customFormat="false" ht="23.85" hidden="false" customHeight="false" outlineLevel="0" collapsed="false">
      <c r="A50" s="11" t="s">
        <v>222</v>
      </c>
      <c r="B50" s="15" t="s">
        <v>28</v>
      </c>
      <c r="C50" s="11" t="s">
        <v>155</v>
      </c>
      <c r="D50" s="7" t="s">
        <v>223</v>
      </c>
      <c r="E50" s="7" t="s">
        <v>224</v>
      </c>
      <c r="F50" s="11" t="s">
        <v>37</v>
      </c>
      <c r="G50" s="11" t="n">
        <v>3</v>
      </c>
      <c r="H50" s="13" t="s">
        <v>57</v>
      </c>
      <c r="I50" s="11" t="s">
        <v>225</v>
      </c>
      <c r="J50" s="11" t="s">
        <v>144</v>
      </c>
      <c r="K50" s="11" t="s">
        <v>59</v>
      </c>
    </row>
    <row r="51" customFormat="false" ht="15" hidden="false" customHeight="false" outlineLevel="0" collapsed="false">
      <c r="A51" s="11" t="s">
        <v>226</v>
      </c>
      <c r="B51" s="15" t="s">
        <v>28</v>
      </c>
      <c r="C51" s="11" t="s">
        <v>155</v>
      </c>
      <c r="D51" s="7" t="s">
        <v>227</v>
      </c>
      <c r="E51" s="7" t="s">
        <v>228</v>
      </c>
      <c r="F51" s="11" t="s">
        <v>38</v>
      </c>
      <c r="G51" s="11" t="n">
        <v>3</v>
      </c>
      <c r="H51" s="13" t="s">
        <v>57</v>
      </c>
      <c r="I51" s="11" t="s">
        <v>216</v>
      </c>
      <c r="J51" s="11" t="s">
        <v>144</v>
      </c>
      <c r="K51" s="11" t="s">
        <v>59</v>
      </c>
    </row>
    <row r="52" customFormat="false" ht="15" hidden="false" customHeight="false" outlineLevel="0" collapsed="false">
      <c r="A52" s="11" t="s">
        <v>229</v>
      </c>
      <c r="B52" s="15" t="s">
        <v>28</v>
      </c>
      <c r="C52" s="11" t="s">
        <v>155</v>
      </c>
      <c r="D52" s="7" t="s">
        <v>230</v>
      </c>
      <c r="E52" s="7" t="s">
        <v>231</v>
      </c>
      <c r="F52" s="11" t="s">
        <v>39</v>
      </c>
      <c r="G52" s="11" t="n">
        <v>3</v>
      </c>
      <c r="H52" s="13" t="s">
        <v>57</v>
      </c>
      <c r="I52" s="11" t="s">
        <v>232</v>
      </c>
      <c r="J52" s="11" t="s">
        <v>166</v>
      </c>
      <c r="K52" s="11" t="s">
        <v>59</v>
      </c>
    </row>
    <row r="53" customFormat="false" ht="23.85" hidden="false" customHeight="false" outlineLevel="0" collapsed="false">
      <c r="A53" s="11" t="s">
        <v>233</v>
      </c>
      <c r="B53" s="15" t="s">
        <v>28</v>
      </c>
      <c r="C53" s="11" t="s">
        <v>155</v>
      </c>
      <c r="D53" s="7" t="s">
        <v>234</v>
      </c>
      <c r="E53" s="7" t="s">
        <v>235</v>
      </c>
      <c r="F53" s="11" t="s">
        <v>41</v>
      </c>
      <c r="G53" s="11" t="n">
        <v>2</v>
      </c>
      <c r="H53" s="14" t="s">
        <v>63</v>
      </c>
      <c r="I53" s="11" t="s">
        <v>222</v>
      </c>
      <c r="J53" s="11" t="s">
        <v>205</v>
      </c>
      <c r="K53" s="11" t="s">
        <v>59</v>
      </c>
    </row>
    <row r="54" customFormat="false" ht="15" hidden="false" customHeight="false" outlineLevel="0" collapsed="false">
      <c r="A54" s="11" t="s">
        <v>236</v>
      </c>
      <c r="B54" s="15" t="s">
        <v>28</v>
      </c>
      <c r="C54" s="11" t="s">
        <v>98</v>
      </c>
      <c r="D54" s="7" t="s">
        <v>237</v>
      </c>
      <c r="E54" s="7" t="s">
        <v>238</v>
      </c>
      <c r="F54" s="11" t="s">
        <v>40</v>
      </c>
      <c r="G54" s="11" t="n">
        <v>3</v>
      </c>
      <c r="H54" s="13" t="s">
        <v>57</v>
      </c>
      <c r="I54" s="11" t="s">
        <v>107</v>
      </c>
      <c r="J54" s="11" t="s">
        <v>166</v>
      </c>
      <c r="K54" s="11" t="s">
        <v>59</v>
      </c>
    </row>
    <row r="55" customFormat="false" ht="23.85" hidden="false" customHeight="false" outlineLevel="0" collapsed="false">
      <c r="A55" s="11" t="s">
        <v>239</v>
      </c>
      <c r="B55" s="15" t="s">
        <v>28</v>
      </c>
      <c r="C55" s="11" t="s">
        <v>98</v>
      </c>
      <c r="D55" s="7" t="s">
        <v>240</v>
      </c>
      <c r="E55" s="7" t="s">
        <v>241</v>
      </c>
      <c r="F55" s="11" t="s">
        <v>41</v>
      </c>
      <c r="G55" s="11" t="n">
        <v>3</v>
      </c>
      <c r="H55" s="14" t="s">
        <v>63</v>
      </c>
      <c r="I55" s="11" t="s">
        <v>212</v>
      </c>
      <c r="J55" s="11" t="s">
        <v>205</v>
      </c>
      <c r="K55" s="11" t="s">
        <v>59</v>
      </c>
    </row>
    <row r="56" customFormat="false" ht="15" hidden="false" customHeight="false" outlineLevel="0" collapsed="false">
      <c r="A56" s="11" t="s">
        <v>242</v>
      </c>
      <c r="B56" s="15" t="s">
        <v>28</v>
      </c>
      <c r="C56" s="11" t="s">
        <v>243</v>
      </c>
      <c r="D56" s="7" t="s">
        <v>244</v>
      </c>
      <c r="E56" s="7" t="s">
        <v>245</v>
      </c>
      <c r="F56" s="11" t="s">
        <v>37</v>
      </c>
      <c r="G56" s="11" t="n">
        <v>2</v>
      </c>
      <c r="H56" s="14" t="s">
        <v>63</v>
      </c>
      <c r="I56" s="11" t="s">
        <v>246</v>
      </c>
      <c r="J56" s="11" t="s">
        <v>205</v>
      </c>
      <c r="K56" s="11" t="s">
        <v>59</v>
      </c>
    </row>
    <row r="57" customFormat="false" ht="23.85" hidden="false" customHeight="false" outlineLevel="0" collapsed="false">
      <c r="A57" s="11" t="s">
        <v>247</v>
      </c>
      <c r="B57" s="15" t="s">
        <v>28</v>
      </c>
      <c r="C57" s="11" t="s">
        <v>54</v>
      </c>
      <c r="D57" s="7" t="s">
        <v>248</v>
      </c>
      <c r="E57" s="7" t="s">
        <v>249</v>
      </c>
      <c r="F57" s="11" t="s">
        <v>34</v>
      </c>
      <c r="G57" s="11" t="n">
        <v>5</v>
      </c>
      <c r="H57" s="13" t="s">
        <v>57</v>
      </c>
      <c r="I57" s="11" t="s">
        <v>250</v>
      </c>
      <c r="J57" s="11" t="s">
        <v>205</v>
      </c>
      <c r="K57" s="11" t="s">
        <v>59</v>
      </c>
    </row>
    <row r="58" customFormat="false" ht="23.85" hidden="false" customHeight="false" outlineLevel="0" collapsed="false">
      <c r="A58" s="11" t="s">
        <v>251</v>
      </c>
      <c r="B58" s="16" t="s">
        <v>29</v>
      </c>
      <c r="C58" s="11" t="s">
        <v>252</v>
      </c>
      <c r="D58" s="7" t="s">
        <v>253</v>
      </c>
      <c r="E58" s="7" t="s">
        <v>254</v>
      </c>
      <c r="F58" s="11" t="s">
        <v>37</v>
      </c>
      <c r="G58" s="11" t="n">
        <v>4</v>
      </c>
      <c r="H58" s="13" t="s">
        <v>57</v>
      </c>
      <c r="I58" s="11" t="s">
        <v>114</v>
      </c>
      <c r="J58" s="11" t="s">
        <v>255</v>
      </c>
      <c r="K58" s="11" t="s">
        <v>59</v>
      </c>
    </row>
    <row r="59" customFormat="false" ht="23.85" hidden="false" customHeight="false" outlineLevel="0" collapsed="false">
      <c r="A59" s="11" t="s">
        <v>256</v>
      </c>
      <c r="B59" s="16" t="s">
        <v>29</v>
      </c>
      <c r="C59" s="11" t="s">
        <v>252</v>
      </c>
      <c r="D59" s="7" t="s">
        <v>257</v>
      </c>
      <c r="E59" s="7" t="s">
        <v>258</v>
      </c>
      <c r="F59" s="11" t="s">
        <v>37</v>
      </c>
      <c r="G59" s="11" t="n">
        <v>4</v>
      </c>
      <c r="H59" s="13" t="s">
        <v>57</v>
      </c>
      <c r="I59" s="11" t="s">
        <v>251</v>
      </c>
      <c r="J59" s="11" t="s">
        <v>255</v>
      </c>
      <c r="K59" s="11" t="s">
        <v>59</v>
      </c>
    </row>
    <row r="60" customFormat="false" ht="15" hidden="false" customHeight="false" outlineLevel="0" collapsed="false">
      <c r="A60" s="11" t="s">
        <v>259</v>
      </c>
      <c r="B60" s="16" t="s">
        <v>29</v>
      </c>
      <c r="C60" s="11" t="s">
        <v>252</v>
      </c>
      <c r="D60" s="7" t="s">
        <v>260</v>
      </c>
      <c r="E60" s="7" t="s">
        <v>261</v>
      </c>
      <c r="F60" s="11" t="s">
        <v>37</v>
      </c>
      <c r="G60" s="11" t="n">
        <v>3</v>
      </c>
      <c r="H60" s="14" t="s">
        <v>63</v>
      </c>
      <c r="I60" s="11" t="s">
        <v>251</v>
      </c>
      <c r="J60" s="11" t="s">
        <v>262</v>
      </c>
      <c r="K60" s="11" t="s">
        <v>59</v>
      </c>
    </row>
    <row r="61" customFormat="false" ht="23.85" hidden="false" customHeight="false" outlineLevel="0" collapsed="false">
      <c r="A61" s="11" t="s">
        <v>263</v>
      </c>
      <c r="B61" s="16" t="s">
        <v>29</v>
      </c>
      <c r="C61" s="11" t="s">
        <v>252</v>
      </c>
      <c r="D61" s="7" t="s">
        <v>264</v>
      </c>
      <c r="E61" s="7" t="s">
        <v>265</v>
      </c>
      <c r="F61" s="11" t="s">
        <v>37</v>
      </c>
      <c r="G61" s="11" t="n">
        <v>3</v>
      </c>
      <c r="H61" s="14" t="s">
        <v>63</v>
      </c>
      <c r="I61" s="11" t="s">
        <v>266</v>
      </c>
      <c r="J61" s="11" t="s">
        <v>262</v>
      </c>
      <c r="K61" s="11" t="s">
        <v>59</v>
      </c>
    </row>
    <row r="62" customFormat="false" ht="23.85" hidden="false" customHeight="false" outlineLevel="0" collapsed="false">
      <c r="A62" s="11" t="s">
        <v>267</v>
      </c>
      <c r="B62" s="16" t="s">
        <v>29</v>
      </c>
      <c r="C62" s="11" t="s">
        <v>252</v>
      </c>
      <c r="D62" s="7" t="s">
        <v>268</v>
      </c>
      <c r="E62" s="7" t="s">
        <v>269</v>
      </c>
      <c r="F62" s="11" t="s">
        <v>37</v>
      </c>
      <c r="G62" s="11" t="n">
        <v>4</v>
      </c>
      <c r="H62" s="13" t="s">
        <v>57</v>
      </c>
      <c r="I62" s="11" t="s">
        <v>78</v>
      </c>
      <c r="J62" s="11" t="s">
        <v>262</v>
      </c>
      <c r="K62" s="11" t="s">
        <v>59</v>
      </c>
    </row>
    <row r="63" customFormat="false" ht="23.85" hidden="false" customHeight="false" outlineLevel="0" collapsed="false">
      <c r="A63" s="11" t="s">
        <v>270</v>
      </c>
      <c r="B63" s="16" t="s">
        <v>29</v>
      </c>
      <c r="C63" s="11" t="s">
        <v>252</v>
      </c>
      <c r="D63" s="7" t="s">
        <v>271</v>
      </c>
      <c r="E63" s="7" t="s">
        <v>272</v>
      </c>
      <c r="F63" s="11" t="s">
        <v>37</v>
      </c>
      <c r="G63" s="11" t="n">
        <v>4</v>
      </c>
      <c r="H63" s="14" t="s">
        <v>63</v>
      </c>
      <c r="I63" s="11" t="s">
        <v>267</v>
      </c>
      <c r="J63" s="11" t="s">
        <v>273</v>
      </c>
      <c r="K63" s="11" t="s">
        <v>59</v>
      </c>
    </row>
    <row r="64" customFormat="false" ht="15" hidden="false" customHeight="false" outlineLevel="0" collapsed="false">
      <c r="A64" s="11" t="s">
        <v>274</v>
      </c>
      <c r="B64" s="16" t="s">
        <v>29</v>
      </c>
      <c r="C64" s="11" t="s">
        <v>252</v>
      </c>
      <c r="D64" s="7" t="s">
        <v>275</v>
      </c>
      <c r="E64" s="7" t="s">
        <v>276</v>
      </c>
      <c r="F64" s="11" t="s">
        <v>39</v>
      </c>
      <c r="G64" s="11" t="n">
        <v>6</v>
      </c>
      <c r="H64" s="13" t="s">
        <v>57</v>
      </c>
      <c r="I64" s="11" t="s">
        <v>251</v>
      </c>
      <c r="J64" s="11" t="s">
        <v>273</v>
      </c>
      <c r="K64" s="11" t="s">
        <v>59</v>
      </c>
    </row>
    <row r="65" customFormat="false" ht="15" hidden="false" customHeight="false" outlineLevel="0" collapsed="false">
      <c r="A65" s="11" t="s">
        <v>277</v>
      </c>
      <c r="B65" s="16" t="s">
        <v>29</v>
      </c>
      <c r="C65" s="11" t="s">
        <v>252</v>
      </c>
      <c r="D65" s="7" t="s">
        <v>278</v>
      </c>
      <c r="E65" s="7" t="s">
        <v>279</v>
      </c>
      <c r="F65" s="11" t="s">
        <v>39</v>
      </c>
      <c r="G65" s="11" t="n">
        <v>4</v>
      </c>
      <c r="H65" s="13" t="s">
        <v>57</v>
      </c>
      <c r="I65" s="11" t="s">
        <v>274</v>
      </c>
      <c r="J65" s="11" t="s">
        <v>280</v>
      </c>
      <c r="K65" s="11" t="s">
        <v>59</v>
      </c>
    </row>
    <row r="66" customFormat="false" ht="15" hidden="false" customHeight="false" outlineLevel="0" collapsed="false">
      <c r="A66" s="11" t="s">
        <v>281</v>
      </c>
      <c r="B66" s="16" t="s">
        <v>29</v>
      </c>
      <c r="C66" s="11" t="s">
        <v>252</v>
      </c>
      <c r="D66" s="7" t="s">
        <v>282</v>
      </c>
      <c r="E66" s="7" t="s">
        <v>283</v>
      </c>
      <c r="F66" s="11" t="s">
        <v>39</v>
      </c>
      <c r="G66" s="11" t="n">
        <v>3</v>
      </c>
      <c r="H66" s="13" t="s">
        <v>57</v>
      </c>
      <c r="I66" s="11" t="s">
        <v>284</v>
      </c>
      <c r="J66" s="11" t="s">
        <v>280</v>
      </c>
      <c r="K66" s="11" t="s">
        <v>59</v>
      </c>
    </row>
    <row r="67" customFormat="false" ht="23.85" hidden="false" customHeight="false" outlineLevel="0" collapsed="false">
      <c r="A67" s="11" t="s">
        <v>285</v>
      </c>
      <c r="B67" s="16" t="s">
        <v>29</v>
      </c>
      <c r="C67" s="11" t="s">
        <v>252</v>
      </c>
      <c r="D67" s="7" t="s">
        <v>286</v>
      </c>
      <c r="E67" s="7" t="s">
        <v>287</v>
      </c>
      <c r="F67" s="11" t="s">
        <v>39</v>
      </c>
      <c r="G67" s="11" t="n">
        <v>3</v>
      </c>
      <c r="H67" s="13" t="s">
        <v>57</v>
      </c>
      <c r="I67" s="11" t="s">
        <v>288</v>
      </c>
      <c r="J67" s="11" t="s">
        <v>289</v>
      </c>
      <c r="K67" s="11" t="s">
        <v>59</v>
      </c>
    </row>
    <row r="68" customFormat="false" ht="23.85" hidden="false" customHeight="false" outlineLevel="0" collapsed="false">
      <c r="A68" s="11" t="s">
        <v>290</v>
      </c>
      <c r="B68" s="16" t="s">
        <v>29</v>
      </c>
      <c r="C68" s="11" t="s">
        <v>252</v>
      </c>
      <c r="D68" s="7" t="s">
        <v>291</v>
      </c>
      <c r="E68" s="7" t="s">
        <v>292</v>
      </c>
      <c r="F68" s="11" t="s">
        <v>37</v>
      </c>
      <c r="G68" s="11" t="n">
        <v>2</v>
      </c>
      <c r="H68" s="14" t="s">
        <v>63</v>
      </c>
      <c r="I68" s="11" t="s">
        <v>274</v>
      </c>
      <c r="J68" s="11" t="s">
        <v>289</v>
      </c>
      <c r="K68" s="11" t="s">
        <v>59</v>
      </c>
    </row>
    <row r="69" customFormat="false" ht="15" hidden="false" customHeight="false" outlineLevel="0" collapsed="false">
      <c r="A69" s="11" t="s">
        <v>293</v>
      </c>
      <c r="B69" s="16" t="s">
        <v>29</v>
      </c>
      <c r="C69" s="11" t="s">
        <v>252</v>
      </c>
      <c r="D69" s="7" t="s">
        <v>294</v>
      </c>
      <c r="E69" s="7" t="s">
        <v>295</v>
      </c>
      <c r="F69" s="11" t="s">
        <v>38</v>
      </c>
      <c r="G69" s="11" t="n">
        <v>4</v>
      </c>
      <c r="H69" s="14" t="s">
        <v>63</v>
      </c>
      <c r="I69" s="11" t="s">
        <v>296</v>
      </c>
      <c r="J69" s="11" t="s">
        <v>289</v>
      </c>
      <c r="K69" s="11" t="s">
        <v>59</v>
      </c>
    </row>
    <row r="70" customFormat="false" ht="15" hidden="false" customHeight="false" outlineLevel="0" collapsed="false">
      <c r="A70" s="11" t="s">
        <v>297</v>
      </c>
      <c r="B70" s="16" t="s">
        <v>29</v>
      </c>
      <c r="C70" s="11" t="s">
        <v>252</v>
      </c>
      <c r="D70" s="7" t="s">
        <v>298</v>
      </c>
      <c r="E70" s="7" t="s">
        <v>299</v>
      </c>
      <c r="F70" s="11" t="s">
        <v>41</v>
      </c>
      <c r="G70" s="11" t="n">
        <v>3</v>
      </c>
      <c r="H70" s="13" t="s">
        <v>57</v>
      </c>
      <c r="I70" s="11" t="s">
        <v>300</v>
      </c>
      <c r="J70" s="11" t="s">
        <v>301</v>
      </c>
      <c r="K70" s="11" t="s">
        <v>59</v>
      </c>
    </row>
    <row r="71" customFormat="false" ht="35.05" hidden="false" customHeight="false" outlineLevel="0" collapsed="false">
      <c r="A71" s="11" t="s">
        <v>302</v>
      </c>
      <c r="B71" s="16" t="s">
        <v>29</v>
      </c>
      <c r="C71" s="11" t="s">
        <v>155</v>
      </c>
      <c r="D71" s="7" t="s">
        <v>303</v>
      </c>
      <c r="E71" s="7" t="s">
        <v>304</v>
      </c>
      <c r="F71" s="11" t="s">
        <v>37</v>
      </c>
      <c r="G71" s="11" t="n">
        <v>6</v>
      </c>
      <c r="H71" s="13" t="s">
        <v>57</v>
      </c>
      <c r="I71" s="11" t="s">
        <v>225</v>
      </c>
      <c r="J71" s="11" t="s">
        <v>301</v>
      </c>
      <c r="K71" s="11" t="s">
        <v>59</v>
      </c>
    </row>
    <row r="72" customFormat="false" ht="23.85" hidden="false" customHeight="false" outlineLevel="0" collapsed="false">
      <c r="A72" s="11" t="s">
        <v>305</v>
      </c>
      <c r="B72" s="16" t="s">
        <v>29</v>
      </c>
      <c r="C72" s="11" t="s">
        <v>155</v>
      </c>
      <c r="D72" s="7" t="s">
        <v>306</v>
      </c>
      <c r="E72" s="7" t="s">
        <v>307</v>
      </c>
      <c r="F72" s="11" t="s">
        <v>37</v>
      </c>
      <c r="G72" s="11" t="n">
        <v>3</v>
      </c>
      <c r="H72" s="14" t="s">
        <v>63</v>
      </c>
      <c r="I72" s="11" t="s">
        <v>78</v>
      </c>
      <c r="J72" s="11" t="s">
        <v>308</v>
      </c>
      <c r="K72" s="11" t="s">
        <v>59</v>
      </c>
    </row>
    <row r="73" customFormat="false" ht="35.05" hidden="false" customHeight="false" outlineLevel="0" collapsed="false">
      <c r="A73" s="11" t="s">
        <v>309</v>
      </c>
      <c r="B73" s="16" t="s">
        <v>29</v>
      </c>
      <c r="C73" s="11" t="s">
        <v>155</v>
      </c>
      <c r="D73" s="7" t="s">
        <v>310</v>
      </c>
      <c r="E73" s="7" t="s">
        <v>311</v>
      </c>
      <c r="F73" s="11" t="s">
        <v>37</v>
      </c>
      <c r="G73" s="11" t="n">
        <v>5</v>
      </c>
      <c r="H73" s="13" t="s">
        <v>57</v>
      </c>
      <c r="I73" s="11" t="s">
        <v>78</v>
      </c>
      <c r="J73" s="11" t="s">
        <v>308</v>
      </c>
      <c r="K73" s="11" t="s">
        <v>59</v>
      </c>
    </row>
    <row r="74" customFormat="false" ht="35.05" hidden="false" customHeight="false" outlineLevel="0" collapsed="false">
      <c r="A74" s="11" t="s">
        <v>312</v>
      </c>
      <c r="B74" s="16" t="s">
        <v>29</v>
      </c>
      <c r="C74" s="11" t="s">
        <v>155</v>
      </c>
      <c r="D74" s="7" t="s">
        <v>313</v>
      </c>
      <c r="E74" s="7" t="s">
        <v>314</v>
      </c>
      <c r="F74" s="11" t="s">
        <v>37</v>
      </c>
      <c r="G74" s="11" t="n">
        <v>4</v>
      </c>
      <c r="H74" s="13" t="s">
        <v>57</v>
      </c>
      <c r="I74" s="11" t="s">
        <v>315</v>
      </c>
      <c r="J74" s="11" t="s">
        <v>316</v>
      </c>
      <c r="K74" s="11" t="s">
        <v>59</v>
      </c>
    </row>
    <row r="75" customFormat="false" ht="23.85" hidden="false" customHeight="false" outlineLevel="0" collapsed="false">
      <c r="A75" s="11" t="s">
        <v>317</v>
      </c>
      <c r="B75" s="16" t="s">
        <v>29</v>
      </c>
      <c r="C75" s="11" t="s">
        <v>155</v>
      </c>
      <c r="D75" s="7" t="s">
        <v>318</v>
      </c>
      <c r="E75" s="7" t="s">
        <v>319</v>
      </c>
      <c r="F75" s="11" t="s">
        <v>38</v>
      </c>
      <c r="G75" s="11" t="n">
        <v>4</v>
      </c>
      <c r="H75" s="14" t="s">
        <v>63</v>
      </c>
      <c r="I75" s="11" t="s">
        <v>320</v>
      </c>
      <c r="J75" s="11" t="s">
        <v>316</v>
      </c>
      <c r="K75" s="11" t="s">
        <v>59</v>
      </c>
    </row>
    <row r="76" customFormat="false" ht="23.85" hidden="false" customHeight="false" outlineLevel="0" collapsed="false">
      <c r="A76" s="11" t="s">
        <v>321</v>
      </c>
      <c r="B76" s="16" t="s">
        <v>29</v>
      </c>
      <c r="C76" s="11" t="s">
        <v>155</v>
      </c>
      <c r="D76" s="7" t="s">
        <v>322</v>
      </c>
      <c r="E76" s="7" t="s">
        <v>323</v>
      </c>
      <c r="F76" s="11" t="s">
        <v>39</v>
      </c>
      <c r="G76" s="11" t="n">
        <v>6</v>
      </c>
      <c r="H76" s="13" t="s">
        <v>57</v>
      </c>
      <c r="I76" s="11" t="s">
        <v>324</v>
      </c>
      <c r="J76" s="11" t="s">
        <v>316</v>
      </c>
      <c r="K76" s="11" t="s">
        <v>59</v>
      </c>
    </row>
    <row r="77" customFormat="false" ht="23.85" hidden="false" customHeight="false" outlineLevel="0" collapsed="false">
      <c r="A77" s="11" t="s">
        <v>325</v>
      </c>
      <c r="B77" s="16" t="s">
        <v>29</v>
      </c>
      <c r="C77" s="11" t="s">
        <v>155</v>
      </c>
      <c r="D77" s="7" t="s">
        <v>326</v>
      </c>
      <c r="E77" s="7" t="s">
        <v>327</v>
      </c>
      <c r="F77" s="11" t="s">
        <v>41</v>
      </c>
      <c r="G77" s="11" t="n">
        <v>2</v>
      </c>
      <c r="H77" s="13" t="s">
        <v>57</v>
      </c>
      <c r="I77" s="11" t="s">
        <v>309</v>
      </c>
      <c r="J77" s="11" t="s">
        <v>328</v>
      </c>
      <c r="K77" s="11" t="s">
        <v>59</v>
      </c>
    </row>
    <row r="78" customFormat="false" ht="15" hidden="false" customHeight="false" outlineLevel="0" collapsed="false">
      <c r="A78" s="11" t="s">
        <v>329</v>
      </c>
      <c r="B78" s="16" t="s">
        <v>29</v>
      </c>
      <c r="C78" s="11" t="s">
        <v>330</v>
      </c>
      <c r="D78" s="7" t="s">
        <v>331</v>
      </c>
      <c r="E78" s="7" t="s">
        <v>332</v>
      </c>
      <c r="F78" s="11" t="s">
        <v>40</v>
      </c>
      <c r="G78" s="11" t="n">
        <v>5</v>
      </c>
      <c r="H78" s="13" t="s">
        <v>57</v>
      </c>
      <c r="I78" s="11" t="s">
        <v>212</v>
      </c>
      <c r="J78" s="11" t="s">
        <v>328</v>
      </c>
      <c r="K78" s="11" t="s">
        <v>59</v>
      </c>
    </row>
    <row r="79" customFormat="false" ht="15" hidden="false" customHeight="false" outlineLevel="0" collapsed="false">
      <c r="A79" s="11" t="s">
        <v>333</v>
      </c>
      <c r="B79" s="16" t="s">
        <v>29</v>
      </c>
      <c r="C79" s="11" t="s">
        <v>98</v>
      </c>
      <c r="D79" s="7" t="s">
        <v>334</v>
      </c>
      <c r="E79" s="7" t="s">
        <v>335</v>
      </c>
      <c r="F79" s="11" t="s">
        <v>37</v>
      </c>
      <c r="G79" s="11" t="n">
        <v>4</v>
      </c>
      <c r="H79" s="14" t="s">
        <v>63</v>
      </c>
      <c r="I79" s="11" t="s">
        <v>247</v>
      </c>
      <c r="J79" s="11" t="s">
        <v>328</v>
      </c>
      <c r="K79" s="11" t="s">
        <v>59</v>
      </c>
    </row>
    <row r="80" customFormat="false" ht="23.85" hidden="false" customHeight="false" outlineLevel="0" collapsed="false">
      <c r="A80" s="11" t="s">
        <v>336</v>
      </c>
      <c r="B80" s="16" t="s">
        <v>29</v>
      </c>
      <c r="C80" s="11" t="s">
        <v>54</v>
      </c>
      <c r="D80" s="7" t="s">
        <v>337</v>
      </c>
      <c r="E80" s="7" t="s">
        <v>338</v>
      </c>
      <c r="F80" s="11" t="s">
        <v>34</v>
      </c>
      <c r="G80" s="11" t="n">
        <v>5</v>
      </c>
      <c r="H80" s="13" t="s">
        <v>57</v>
      </c>
      <c r="I80" s="11" t="s">
        <v>339</v>
      </c>
      <c r="J80" s="11" t="s">
        <v>340</v>
      </c>
      <c r="K80" s="11" t="s">
        <v>59</v>
      </c>
    </row>
    <row r="81" customFormat="false" ht="23.85" hidden="false" customHeight="false" outlineLevel="0" collapsed="false">
      <c r="A81" s="11" t="s">
        <v>341</v>
      </c>
      <c r="B81" s="17" t="s">
        <v>30</v>
      </c>
      <c r="C81" s="11" t="s">
        <v>342</v>
      </c>
      <c r="D81" s="7" t="s">
        <v>343</v>
      </c>
      <c r="E81" s="7" t="s">
        <v>344</v>
      </c>
      <c r="F81" s="11" t="s">
        <v>37</v>
      </c>
      <c r="G81" s="11" t="n">
        <v>4</v>
      </c>
      <c r="H81" s="14" t="s">
        <v>63</v>
      </c>
      <c r="I81" s="11" t="s">
        <v>173</v>
      </c>
      <c r="J81" s="11" t="s">
        <v>345</v>
      </c>
      <c r="K81" s="11" t="s">
        <v>59</v>
      </c>
    </row>
    <row r="82" customFormat="false" ht="23.85" hidden="false" customHeight="false" outlineLevel="0" collapsed="false">
      <c r="A82" s="11" t="s">
        <v>346</v>
      </c>
      <c r="B82" s="17" t="s">
        <v>30</v>
      </c>
      <c r="C82" s="11" t="s">
        <v>347</v>
      </c>
      <c r="D82" s="7" t="s">
        <v>348</v>
      </c>
      <c r="E82" s="7" t="s">
        <v>349</v>
      </c>
      <c r="F82" s="11" t="s">
        <v>37</v>
      </c>
      <c r="G82" s="11" t="n">
        <v>4</v>
      </c>
      <c r="H82" s="13" t="s">
        <v>57</v>
      </c>
      <c r="I82" s="11" t="s">
        <v>114</v>
      </c>
      <c r="J82" s="11" t="s">
        <v>345</v>
      </c>
      <c r="K82" s="11" t="s">
        <v>59</v>
      </c>
    </row>
    <row r="83" customFormat="false" ht="23.85" hidden="false" customHeight="false" outlineLevel="0" collapsed="false">
      <c r="A83" s="11" t="s">
        <v>350</v>
      </c>
      <c r="B83" s="17" t="s">
        <v>30</v>
      </c>
      <c r="C83" s="11" t="s">
        <v>98</v>
      </c>
      <c r="D83" s="7" t="s">
        <v>351</v>
      </c>
      <c r="E83" s="7" t="s">
        <v>352</v>
      </c>
      <c r="F83" s="11" t="s">
        <v>40</v>
      </c>
      <c r="G83" s="11" t="n">
        <v>3</v>
      </c>
      <c r="H83" s="14" t="s">
        <v>63</v>
      </c>
      <c r="I83" s="11" t="s">
        <v>107</v>
      </c>
      <c r="J83" s="11" t="s">
        <v>345</v>
      </c>
      <c r="K83" s="11" t="s">
        <v>59</v>
      </c>
    </row>
    <row r="84" customFormat="false" ht="23.85" hidden="false" customHeight="false" outlineLevel="0" collapsed="false">
      <c r="A84" s="11" t="s">
        <v>353</v>
      </c>
      <c r="B84" s="17" t="s">
        <v>30</v>
      </c>
      <c r="C84" s="11" t="s">
        <v>354</v>
      </c>
      <c r="D84" s="7" t="s">
        <v>355</v>
      </c>
      <c r="E84" s="7" t="s">
        <v>356</v>
      </c>
      <c r="F84" s="11" t="s">
        <v>37</v>
      </c>
      <c r="G84" s="11" t="n">
        <v>6</v>
      </c>
      <c r="H84" s="14" t="s">
        <v>63</v>
      </c>
      <c r="I84" s="11" t="s">
        <v>162</v>
      </c>
      <c r="J84" s="11" t="s">
        <v>357</v>
      </c>
      <c r="K84" s="11" t="s">
        <v>59</v>
      </c>
    </row>
    <row r="85" customFormat="false" ht="15" hidden="false" customHeight="false" outlineLevel="0" collapsed="false">
      <c r="A85" s="11" t="s">
        <v>358</v>
      </c>
      <c r="B85" s="17" t="s">
        <v>30</v>
      </c>
      <c r="C85" s="11" t="s">
        <v>359</v>
      </c>
      <c r="D85" s="7" t="s">
        <v>360</v>
      </c>
      <c r="E85" s="7" t="s">
        <v>361</v>
      </c>
      <c r="F85" s="11" t="s">
        <v>36</v>
      </c>
      <c r="G85" s="11" t="n">
        <v>5</v>
      </c>
      <c r="H85" s="18" t="s">
        <v>362</v>
      </c>
      <c r="I85" s="11" t="s">
        <v>251</v>
      </c>
      <c r="J85" s="11" t="s">
        <v>363</v>
      </c>
      <c r="K85" s="11" t="s">
        <v>59</v>
      </c>
    </row>
    <row r="86" customFormat="false" ht="23.85" hidden="false" customHeight="false" outlineLevel="0" collapsed="false">
      <c r="A86" s="11" t="s">
        <v>364</v>
      </c>
      <c r="B86" s="17" t="s">
        <v>30</v>
      </c>
      <c r="C86" s="11" t="s">
        <v>365</v>
      </c>
      <c r="D86" s="7" t="s">
        <v>366</v>
      </c>
      <c r="E86" s="7" t="s">
        <v>367</v>
      </c>
      <c r="F86" s="11" t="s">
        <v>38</v>
      </c>
      <c r="G86" s="11" t="n">
        <v>5</v>
      </c>
      <c r="H86" s="14" t="s">
        <v>63</v>
      </c>
      <c r="I86" s="11" t="s">
        <v>114</v>
      </c>
      <c r="J86" s="11" t="s">
        <v>357</v>
      </c>
      <c r="K86" s="11" t="s">
        <v>59</v>
      </c>
    </row>
  </sheetData>
  <autoFilter ref="A1:K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18"/>
  </cols>
  <sheetData>
    <row r="2" customFormat="false" ht="17.35" hidden="false" customHeight="false" outlineLevel="0" collapsed="false">
      <c r="B2" s="19" t="s">
        <v>368</v>
      </c>
    </row>
    <row r="3" customFormat="false" ht="15" hidden="false" customHeight="false" outlineLevel="0" collapsed="false">
      <c r="B3" s="20" t="s">
        <v>369</v>
      </c>
    </row>
    <row r="5" customFormat="false" ht="15" hidden="false" customHeight="false" outlineLevel="0" collapsed="false">
      <c r="A5" s="6"/>
      <c r="B5" s="6" t="s">
        <v>370</v>
      </c>
      <c r="C5" s="6" t="s">
        <v>371</v>
      </c>
      <c r="D5" s="8" t="s">
        <v>372</v>
      </c>
    </row>
    <row r="6" customFormat="false" ht="15" hidden="false" customHeight="false" outlineLevel="0" collapsed="false">
      <c r="B6" s="9" t="s">
        <v>373</v>
      </c>
      <c r="C6" s="9" t="n">
        <v>3</v>
      </c>
      <c r="D6" s="21" t="n">
        <f aca="false">Resumen!$D$5+(C6*7)</f>
        <v>46294</v>
      </c>
    </row>
    <row r="7" customFormat="false" ht="15" hidden="false" customHeight="false" outlineLevel="0" collapsed="false">
      <c r="B7" s="9" t="s">
        <v>374</v>
      </c>
      <c r="C7" s="9" t="n">
        <v>6</v>
      </c>
      <c r="D7" s="21" t="n">
        <f aca="false">Resumen!$D$5+(C7*7)</f>
        <v>46315</v>
      </c>
    </row>
    <row r="8" customFormat="false" ht="15" hidden="false" customHeight="false" outlineLevel="0" collapsed="false">
      <c r="B8" s="9" t="s">
        <v>375</v>
      </c>
      <c r="C8" s="9" t="n">
        <v>9</v>
      </c>
      <c r="D8" s="21" t="n">
        <f aca="false">Resumen!$D$5+(C8*7)</f>
        <v>46336</v>
      </c>
    </row>
    <row r="9" customFormat="false" ht="15" hidden="false" customHeight="false" outlineLevel="0" collapsed="false">
      <c r="B9" s="9" t="s">
        <v>376</v>
      </c>
      <c r="C9" s="9" t="n">
        <v>9</v>
      </c>
      <c r="D9" s="21" t="n">
        <f aca="false">Resumen!$D$5+(C9*7)</f>
        <v>46336</v>
      </c>
    </row>
    <row r="10" customFormat="false" ht="15" hidden="false" customHeight="false" outlineLevel="0" collapsed="false">
      <c r="B10" s="9" t="s">
        <v>377</v>
      </c>
      <c r="C10" s="9" t="n">
        <v>17</v>
      </c>
      <c r="D10" s="21" t="n">
        <f aca="false">Resumen!$D$5+(C10*7)</f>
        <v>46392</v>
      </c>
    </row>
    <row r="11" customFormat="false" ht="15" hidden="false" customHeight="false" outlineLevel="0" collapsed="false">
      <c r="B11" s="9" t="s">
        <v>378</v>
      </c>
      <c r="C11" s="9" t="n">
        <v>21</v>
      </c>
      <c r="D11" s="21" t="n">
        <f aca="false">Resumen!$D$5+(C11*7)</f>
        <v>46420</v>
      </c>
    </row>
    <row r="12" customFormat="false" ht="15" hidden="false" customHeight="false" outlineLevel="0" collapsed="false">
      <c r="B12" s="9" t="s">
        <v>379</v>
      </c>
      <c r="C12" s="9" t="n">
        <v>22</v>
      </c>
      <c r="D12" s="21" t="n">
        <f aca="false">Resumen!$D$5+(C12*7)</f>
        <v>46427</v>
      </c>
    </row>
    <row r="13" customFormat="false" ht="15" hidden="false" customHeight="false" outlineLevel="0" collapsed="false">
      <c r="B13" s="9" t="s">
        <v>380</v>
      </c>
      <c r="C13" s="9" t="n">
        <v>24</v>
      </c>
      <c r="D13" s="21" t="n">
        <f aca="false">Resumen!$D$5+(C13*7)</f>
        <v>46441</v>
      </c>
    </row>
    <row r="14" customFormat="false" ht="15" hidden="false" customHeight="false" outlineLevel="0" collapsed="false">
      <c r="B14" s="9" t="s">
        <v>381</v>
      </c>
      <c r="C14" s="9" t="n">
        <v>25</v>
      </c>
      <c r="D14" s="21" t="n">
        <f aca="false">Resumen!$D$5+(C14*7)</f>
        <v>46448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2026-09-12T14:42:14Z</dcterms:created>
  <dc:creator>openpyxl</dc:creator>
  <dc:description/>
  <dc:language>en-US</dc:language>
  <cp:lastModifiedBy/>
  <dcterms:modified xsi:type="dcterms:W3CDTF">2026-09-12T14:42:14Z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